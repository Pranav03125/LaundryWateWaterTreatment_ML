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Main sheet" sheetId="2" r:id="rId1"/>
  </sheets>
  <definedNames>
    <definedName name="_xlnm._FilterDatabase" localSheetId="0" hidden="1">'Main sheet'!$A$1:$P$74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<sst xmlns="http://schemas.openxmlformats.org/spreadsheetml/2006/main" count="89" uniqueCount="19">
  <si>
    <t>Set</t>
  </si>
  <si>
    <t>ESA cm2</t>
  </si>
  <si>
    <t>flowrate</t>
  </si>
  <si>
    <t>Volatge</t>
  </si>
  <si>
    <t>Time</t>
  </si>
  <si>
    <t>LAS Absorbance</t>
  </si>
  <si>
    <t>Vol of FAS</t>
  </si>
  <si>
    <t>COD</t>
  </si>
  <si>
    <t>COD %</t>
  </si>
  <si>
    <t>Turbidity</t>
  </si>
  <si>
    <t>LAS</t>
  </si>
  <si>
    <t>pH</t>
  </si>
  <si>
    <t>Current</t>
  </si>
  <si>
    <t>CD</t>
  </si>
  <si>
    <t>Power</t>
  </si>
  <si>
    <t>Aluminium (LAS)</t>
  </si>
  <si>
    <t>1.88L/min</t>
  </si>
  <si>
    <t>0L/min</t>
  </si>
  <si>
    <t>0.99L/min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</si>
</sst>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80" fontId="0" fillId="0" borderId="0" xfId="0" applyNumberFormat="1" applyBorder="1"/>
    <xf numFmtId="180" fontId="0" fillId="2" borderId="0" xfId="0" applyNumberFormat="1" applyFill="1" applyBorder="1"/>
    <xf numFmtId="180" fontId="0" fillId="0" borderId="0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tabSelected="1" workbookViewId="0">
      <pane ySplit="1" topLeftCell="A2" activePane="bottomLeft" state="frozen"/>
      <selection/>
      <selection pane="bottomLeft" activeCell="D1" sqref="D$1:F$1048576"/>
    </sheetView>
  </sheetViews>
  <sheetFormatPr defaultColWidth="9" defaultRowHeight="14.5"/>
  <cols>
    <col min="1" max="2" width="9.13636363636364" style="2"/>
    <col min="3" max="3" width="9.13636363636364" style="3"/>
    <col min="4" max="5" width="9.13636363636364" style="4"/>
    <col min="6" max="6" width="15.4545454545455" style="4" customWidth="1"/>
    <col min="7" max="9" width="8.70909090909091" style="3" customWidth="1"/>
    <col min="10" max="15" width="8.85454545454546" style="3" customWidth="1"/>
    <col min="16" max="16" width="14.5727272727273" style="3" customWidth="1"/>
    <col min="17" max="16344" width="9.13636363636364" style="3"/>
    <col min="16345" max="16348" width="9" style="3"/>
    <col min="16349" max="16349" width="9.13636363636364" style="3"/>
    <col min="16350" max="16384" width="9" style="3"/>
  </cols>
  <sheetData>
    <row r="1" spans="1:16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2">
        <v>4</v>
      </c>
      <c r="B2" s="2">
        <f>A2*710</f>
        <v>2840</v>
      </c>
      <c r="C2" s="3" t="s">
        <v>16</v>
      </c>
      <c r="D2" s="4">
        <v>6</v>
      </c>
      <c r="E2" s="4">
        <v>0</v>
      </c>
      <c r="F2" s="4">
        <v>6.435</v>
      </c>
      <c r="G2" s="3">
        <v>10</v>
      </c>
      <c r="H2" s="3">
        <f>8*(13.9-G2)*0.0408*1000/25</f>
        <v>50.9184</v>
      </c>
      <c r="I2" s="3">
        <f>100*(H$2-H2)/H$2</f>
        <v>0</v>
      </c>
      <c r="J2" s="3">
        <v>132</v>
      </c>
      <c r="K2" s="3">
        <f t="shared" ref="K2:K29" si="0">0.2549*F2-0.3946</f>
        <v>1.2456815</v>
      </c>
      <c r="L2" s="3">
        <v>7.8</v>
      </c>
      <c r="M2" s="3">
        <v>3.086</v>
      </c>
      <c r="N2" s="10">
        <f t="shared" ref="N2:N13" si="1">M2/B2</f>
        <v>0.00108661971830986</v>
      </c>
      <c r="O2" s="3">
        <v>19.3</v>
      </c>
      <c r="P2" s="3">
        <v>0</v>
      </c>
    </row>
    <row r="3" spans="1:16">
      <c r="A3" s="2">
        <v>4</v>
      </c>
      <c r="B3" s="2">
        <f t="shared" ref="B3:B72" si="2">A3*710</f>
        <v>2840</v>
      </c>
      <c r="C3" s="3" t="s">
        <v>16</v>
      </c>
      <c r="D3" s="4">
        <v>6</v>
      </c>
      <c r="E3" s="4">
        <v>5</v>
      </c>
      <c r="F3" s="4">
        <v>6.006</v>
      </c>
      <c r="G3" s="3">
        <v>10.1</v>
      </c>
      <c r="H3" s="3">
        <f>8*(13.9-G3)*0.0408*1000/25</f>
        <v>49.6128</v>
      </c>
      <c r="I3" s="3">
        <f t="shared" ref="I3:I8" si="3">100*(H$2-H3)/H$2</f>
        <v>2.56410256410256</v>
      </c>
      <c r="J3" s="3">
        <v>60</v>
      </c>
      <c r="K3" s="3">
        <f t="shared" si="0"/>
        <v>1.1363294</v>
      </c>
      <c r="L3" s="3">
        <v>7.5</v>
      </c>
      <c r="M3" s="3">
        <v>3.199</v>
      </c>
      <c r="N3" s="10">
        <f t="shared" si="1"/>
        <v>0.00112640845070423</v>
      </c>
      <c r="O3" s="3">
        <v>19.2</v>
      </c>
      <c r="P3" s="3">
        <f t="shared" ref="P3:P8" si="4">M3*E3*26.982/(3*60*(K$2-K3)*96485*D3)</f>
        <v>3.78745688811124e-5</v>
      </c>
    </row>
    <row r="4" spans="1:16">
      <c r="A4" s="2">
        <v>4</v>
      </c>
      <c r="B4" s="2">
        <f t="shared" si="2"/>
        <v>2840</v>
      </c>
      <c r="C4" s="3" t="s">
        <v>16</v>
      </c>
      <c r="D4" s="4">
        <v>6</v>
      </c>
      <c r="E4" s="4">
        <v>10</v>
      </c>
      <c r="F4" s="4">
        <v>5.541</v>
      </c>
      <c r="G4" s="3">
        <v>10.2</v>
      </c>
      <c r="H4" s="3">
        <f t="shared" ref="H4:H29" si="5">8*(13.9-G4)*0.0408*1000/25</f>
        <v>48.3072</v>
      </c>
      <c r="I4" s="3">
        <f t="shared" si="3"/>
        <v>5.12820512820511</v>
      </c>
      <c r="J4" s="3">
        <v>42</v>
      </c>
      <c r="K4" s="3">
        <f t="shared" si="0"/>
        <v>1.0178009</v>
      </c>
      <c r="L4" s="3">
        <v>7.3</v>
      </c>
      <c r="M4" s="3">
        <v>3.049</v>
      </c>
      <c r="N4" s="10">
        <f t="shared" si="1"/>
        <v>0.00107359154929577</v>
      </c>
      <c r="O4" s="3">
        <v>18.3</v>
      </c>
      <c r="P4" s="3">
        <f t="shared" si="4"/>
        <v>3.46450068375964e-5</v>
      </c>
    </row>
    <row r="5" spans="1:16">
      <c r="A5" s="2">
        <v>4</v>
      </c>
      <c r="B5" s="2">
        <f t="shared" si="2"/>
        <v>2840</v>
      </c>
      <c r="C5" s="3" t="s">
        <v>16</v>
      </c>
      <c r="D5" s="4">
        <v>6</v>
      </c>
      <c r="E5" s="4">
        <v>15</v>
      </c>
      <c r="F5" s="4">
        <v>4.821</v>
      </c>
      <c r="G5" s="3">
        <v>10.4</v>
      </c>
      <c r="H5" s="3">
        <v>47</v>
      </c>
      <c r="I5" s="3">
        <f t="shared" si="3"/>
        <v>7.69544997486176</v>
      </c>
      <c r="J5" s="3">
        <v>35</v>
      </c>
      <c r="K5" s="3">
        <f t="shared" si="0"/>
        <v>0.8342729</v>
      </c>
      <c r="L5" s="3">
        <v>7.28</v>
      </c>
      <c r="M5" s="3">
        <v>2.942</v>
      </c>
      <c r="N5" s="10">
        <f t="shared" si="1"/>
        <v>0.00103591549295775</v>
      </c>
      <c r="O5" s="3">
        <v>17.6</v>
      </c>
      <c r="P5" s="3">
        <f t="shared" si="4"/>
        <v>2.77748129510103e-5</v>
      </c>
    </row>
    <row r="6" spans="1:16">
      <c r="A6" s="2">
        <v>4</v>
      </c>
      <c r="B6" s="2">
        <f t="shared" si="2"/>
        <v>2840</v>
      </c>
      <c r="C6" s="3" t="s">
        <v>16</v>
      </c>
      <c r="D6" s="4">
        <v>6</v>
      </c>
      <c r="E6" s="4">
        <v>20</v>
      </c>
      <c r="F6" s="4">
        <v>4.339</v>
      </c>
      <c r="G6" s="3">
        <v>10.45</v>
      </c>
      <c r="H6" s="3">
        <v>45.8</v>
      </c>
      <c r="I6" s="3">
        <f t="shared" si="3"/>
        <v>10.0521618903972</v>
      </c>
      <c r="J6" s="3">
        <v>23</v>
      </c>
      <c r="K6" s="3">
        <f t="shared" si="0"/>
        <v>0.7114111</v>
      </c>
      <c r="L6" s="3">
        <v>7.26</v>
      </c>
      <c r="M6" s="3">
        <v>2.865</v>
      </c>
      <c r="N6" s="10">
        <f t="shared" si="1"/>
        <v>0.00100880281690141</v>
      </c>
      <c r="O6" s="3">
        <v>17.2</v>
      </c>
      <c r="P6" s="3">
        <f t="shared" si="4"/>
        <v>2.77705249572516e-5</v>
      </c>
    </row>
    <row r="7" spans="1:16">
      <c r="A7" s="2">
        <v>4</v>
      </c>
      <c r="B7" s="2">
        <f t="shared" si="2"/>
        <v>2840</v>
      </c>
      <c r="C7" s="3" t="s">
        <v>16</v>
      </c>
      <c r="D7" s="4">
        <v>6</v>
      </c>
      <c r="E7" s="4">
        <v>30</v>
      </c>
      <c r="F7" s="4">
        <v>4.072</v>
      </c>
      <c r="G7" s="3">
        <v>10.6</v>
      </c>
      <c r="H7" s="3">
        <f t="shared" si="5"/>
        <v>43.0848</v>
      </c>
      <c r="I7" s="3">
        <f t="shared" si="3"/>
        <v>15.3846153846154</v>
      </c>
      <c r="J7" s="3">
        <v>22</v>
      </c>
      <c r="K7" s="3">
        <f t="shared" si="0"/>
        <v>0.6433528</v>
      </c>
      <c r="L7" s="3">
        <v>7.26</v>
      </c>
      <c r="M7" s="3">
        <v>2.479</v>
      </c>
      <c r="N7" s="10">
        <f t="shared" si="1"/>
        <v>0.000872887323943662</v>
      </c>
      <c r="O7" s="3">
        <v>15</v>
      </c>
      <c r="P7" s="3">
        <f t="shared" si="4"/>
        <v>3.1970895846189e-5</v>
      </c>
    </row>
    <row r="8" spans="1:16">
      <c r="A8" s="2">
        <v>4</v>
      </c>
      <c r="B8" s="2">
        <f t="shared" si="2"/>
        <v>2840</v>
      </c>
      <c r="C8" s="3" t="s">
        <v>16</v>
      </c>
      <c r="D8" s="4">
        <v>6</v>
      </c>
      <c r="E8" s="4">
        <v>40</v>
      </c>
      <c r="F8" s="4">
        <v>3.789</v>
      </c>
      <c r="G8" s="3">
        <v>10.65</v>
      </c>
      <c r="H8" s="3">
        <f t="shared" si="5"/>
        <v>42.432</v>
      </c>
      <c r="I8" s="3">
        <f t="shared" si="3"/>
        <v>16.6666666666667</v>
      </c>
      <c r="J8" s="3">
        <v>19</v>
      </c>
      <c r="K8" s="3">
        <f t="shared" si="0"/>
        <v>0.5712161</v>
      </c>
      <c r="L8" s="3">
        <v>7.25</v>
      </c>
      <c r="M8" s="3">
        <v>2.47</v>
      </c>
      <c r="N8" s="10">
        <f t="shared" si="1"/>
        <v>0.000869718309859155</v>
      </c>
      <c r="O8" s="3">
        <v>14.8</v>
      </c>
      <c r="P8" s="3">
        <f t="shared" si="4"/>
        <v>3.7930437373067e-5</v>
      </c>
    </row>
    <row r="9" spans="1:16">
      <c r="A9" s="2">
        <v>4</v>
      </c>
      <c r="B9" s="2">
        <f t="shared" si="2"/>
        <v>2840</v>
      </c>
      <c r="C9" s="3" t="s">
        <v>16</v>
      </c>
      <c r="D9" s="4">
        <v>14</v>
      </c>
      <c r="E9" s="4">
        <v>0</v>
      </c>
      <c r="F9" s="4">
        <v>6.435</v>
      </c>
      <c r="G9" s="3">
        <v>9.8</v>
      </c>
      <c r="H9" s="3">
        <f t="shared" si="5"/>
        <v>53.5296</v>
      </c>
      <c r="I9" s="3">
        <f>100*(H$9-H9)/H$9</f>
        <v>0</v>
      </c>
      <c r="J9" s="3">
        <v>132</v>
      </c>
      <c r="K9" s="3">
        <f t="shared" si="0"/>
        <v>1.2456815</v>
      </c>
      <c r="L9" s="3">
        <v>7.6</v>
      </c>
      <c r="M9" s="3">
        <v>9.1</v>
      </c>
      <c r="N9" s="10">
        <f t="shared" si="1"/>
        <v>0.00320422535211268</v>
      </c>
      <c r="O9" s="3">
        <v>130</v>
      </c>
      <c r="P9" s="3">
        <v>0</v>
      </c>
    </row>
    <row r="10" spans="1:16">
      <c r="A10" s="2">
        <v>4</v>
      </c>
      <c r="B10" s="2">
        <f t="shared" si="2"/>
        <v>2840</v>
      </c>
      <c r="C10" s="3" t="s">
        <v>16</v>
      </c>
      <c r="D10" s="4">
        <v>14</v>
      </c>
      <c r="E10" s="4">
        <v>5</v>
      </c>
      <c r="F10" s="4">
        <v>5.564</v>
      </c>
      <c r="G10" s="3">
        <v>10.2</v>
      </c>
      <c r="H10" s="3">
        <f t="shared" si="5"/>
        <v>48.3072</v>
      </c>
      <c r="I10" s="3">
        <f t="shared" ref="I10:I15" si="6">100*(H$9-H10)/H$9</f>
        <v>9.75609756097555</v>
      </c>
      <c r="J10" s="3">
        <v>86</v>
      </c>
      <c r="K10" s="3">
        <f t="shared" si="0"/>
        <v>1.0236636</v>
      </c>
      <c r="L10" s="3">
        <v>7.4</v>
      </c>
      <c r="M10" s="3">
        <v>8.932</v>
      </c>
      <c r="N10" s="10">
        <f t="shared" si="1"/>
        <v>0.00314507042253521</v>
      </c>
      <c r="O10" s="3">
        <v>123.4</v>
      </c>
      <c r="P10" s="3">
        <f>M10*E10*26.982/(3*60*(K$9-K10)*96485*D10)</f>
        <v>2.23225869993778e-5</v>
      </c>
    </row>
    <row r="11" spans="1:16">
      <c r="A11" s="2">
        <v>4</v>
      </c>
      <c r="B11" s="2">
        <f t="shared" si="2"/>
        <v>2840</v>
      </c>
      <c r="C11" s="3" t="s">
        <v>16</v>
      </c>
      <c r="D11" s="4">
        <v>14</v>
      </c>
      <c r="E11" s="4">
        <v>10</v>
      </c>
      <c r="F11" s="4">
        <v>4.098</v>
      </c>
      <c r="G11" s="3">
        <v>10.5</v>
      </c>
      <c r="H11" s="3">
        <f t="shared" si="5"/>
        <v>44.3904</v>
      </c>
      <c r="I11" s="3">
        <f t="shared" si="6"/>
        <v>17.0731707317073</v>
      </c>
      <c r="J11" s="3">
        <v>32</v>
      </c>
      <c r="K11" s="3">
        <f t="shared" si="0"/>
        <v>0.6499802</v>
      </c>
      <c r="L11" s="3">
        <v>7.1</v>
      </c>
      <c r="M11" s="3">
        <v>8.519</v>
      </c>
      <c r="N11" s="10">
        <f t="shared" si="1"/>
        <v>0.00299964788732394</v>
      </c>
      <c r="O11" s="3">
        <v>119.8</v>
      </c>
      <c r="P11" s="3">
        <f>M11*E11*26.982/(3*60*(K$9-K11)*96485*D11)</f>
        <v>1.58698881677534e-5</v>
      </c>
    </row>
    <row r="12" spans="1:16">
      <c r="A12" s="2">
        <v>4</v>
      </c>
      <c r="B12" s="2">
        <f t="shared" si="2"/>
        <v>2840</v>
      </c>
      <c r="C12" s="3" t="s">
        <v>16</v>
      </c>
      <c r="D12" s="4">
        <v>14</v>
      </c>
      <c r="E12" s="4">
        <v>15</v>
      </c>
      <c r="F12" s="4">
        <v>3.312</v>
      </c>
      <c r="G12" s="3">
        <v>10.7</v>
      </c>
      <c r="H12" s="3">
        <f t="shared" si="5"/>
        <v>41.7792</v>
      </c>
      <c r="I12" s="3">
        <f t="shared" si="6"/>
        <v>21.9512195121951</v>
      </c>
      <c r="J12" s="3">
        <v>20</v>
      </c>
      <c r="K12" s="3">
        <f t="shared" si="0"/>
        <v>0.4496288</v>
      </c>
      <c r="L12" s="3">
        <v>7</v>
      </c>
      <c r="M12" s="3">
        <v>8.184</v>
      </c>
      <c r="N12" s="10">
        <f t="shared" si="1"/>
        <v>0.00288169014084507</v>
      </c>
      <c r="O12" s="3">
        <v>114.7</v>
      </c>
      <c r="P12" s="3">
        <f>M12*E12*26.982/(3*60*(K$9-K12)*96485*D12)</f>
        <v>1.71131066160389e-5</v>
      </c>
    </row>
    <row r="13" spans="1:16">
      <c r="A13" s="2">
        <v>4</v>
      </c>
      <c r="B13" s="2">
        <f t="shared" si="2"/>
        <v>2840</v>
      </c>
      <c r="C13" s="3" t="s">
        <v>16</v>
      </c>
      <c r="D13" s="4">
        <v>14</v>
      </c>
      <c r="E13" s="4">
        <v>20</v>
      </c>
      <c r="F13" s="4">
        <v>2.978</v>
      </c>
      <c r="G13" s="3">
        <v>10.8</v>
      </c>
      <c r="H13" s="3">
        <f t="shared" si="5"/>
        <v>40.4736</v>
      </c>
      <c r="I13" s="3">
        <f t="shared" si="6"/>
        <v>24.390243902439</v>
      </c>
      <c r="J13" s="3">
        <v>9</v>
      </c>
      <c r="K13" s="3">
        <f t="shared" si="0"/>
        <v>0.3644922</v>
      </c>
      <c r="L13" s="3">
        <v>6.9</v>
      </c>
      <c r="M13" s="3">
        <v>7.908</v>
      </c>
      <c r="N13" s="10">
        <f t="shared" si="1"/>
        <v>0.00278450704225352</v>
      </c>
      <c r="O13" s="3">
        <v>109.8</v>
      </c>
      <c r="P13" s="3">
        <f>M13*E13*26.982/(3*60*(K$9-K13)*96485*D13)</f>
        <v>1.99177940421422e-5</v>
      </c>
    </row>
    <row r="14" s="1" customFormat="1" spans="1:16">
      <c r="A14" s="5">
        <v>4</v>
      </c>
      <c r="B14" s="5">
        <v>2840</v>
      </c>
      <c r="C14" s="6" t="s">
        <v>16</v>
      </c>
      <c r="D14" s="7">
        <v>14</v>
      </c>
      <c r="E14" s="7">
        <v>30</v>
      </c>
      <c r="F14" s="7">
        <v>2.875</v>
      </c>
      <c r="G14" s="6">
        <v>10.83</v>
      </c>
      <c r="H14" s="6">
        <f t="shared" si="5"/>
        <v>40.08192</v>
      </c>
      <c r="I14" s="6">
        <f t="shared" si="6"/>
        <v>25.1219512195122</v>
      </c>
      <c r="J14" s="6">
        <v>8</v>
      </c>
      <c r="K14" s="6">
        <f t="shared" si="0"/>
        <v>0.3382375</v>
      </c>
      <c r="L14" s="6"/>
      <c r="M14" s="6"/>
      <c r="N14" s="11"/>
      <c r="O14" s="6"/>
      <c r="P14" s="6"/>
    </row>
    <row r="15" s="1" customFormat="1" spans="1:16">
      <c r="A15" s="5">
        <v>4</v>
      </c>
      <c r="B15" s="5">
        <f t="shared" si="2"/>
        <v>2840</v>
      </c>
      <c r="C15" s="6" t="s">
        <v>16</v>
      </c>
      <c r="D15" s="7">
        <v>14</v>
      </c>
      <c r="E15" s="7">
        <v>40</v>
      </c>
      <c r="F15" s="7">
        <v>2.811</v>
      </c>
      <c r="G15" s="6">
        <v>10.84</v>
      </c>
      <c r="H15" s="6">
        <f t="shared" si="5"/>
        <v>39.95136</v>
      </c>
      <c r="I15" s="6">
        <f t="shared" si="6"/>
        <v>25.3658536585366</v>
      </c>
      <c r="J15" s="6">
        <v>8</v>
      </c>
      <c r="K15" s="6">
        <f t="shared" si="0"/>
        <v>0.3219239</v>
      </c>
      <c r="L15" s="6"/>
      <c r="M15" s="6"/>
      <c r="N15" s="11"/>
      <c r="O15" s="6"/>
      <c r="P15" s="6"/>
    </row>
    <row r="16" s="1" customFormat="1" spans="1:16">
      <c r="A16" s="8">
        <v>4</v>
      </c>
      <c r="B16" s="8">
        <f t="shared" si="2"/>
        <v>2840</v>
      </c>
      <c r="C16" s="1" t="s">
        <v>16</v>
      </c>
      <c r="D16" s="9">
        <v>12</v>
      </c>
      <c r="E16" s="9">
        <v>0</v>
      </c>
      <c r="F16" s="9">
        <v>6.435</v>
      </c>
      <c r="G16" s="1">
        <v>10</v>
      </c>
      <c r="H16" s="1">
        <f t="shared" si="5"/>
        <v>50.9184</v>
      </c>
      <c r="I16" s="1">
        <f>100*(H$16-H16)/H$16</f>
        <v>0</v>
      </c>
      <c r="J16" s="1">
        <v>132</v>
      </c>
      <c r="K16" s="1">
        <f t="shared" si="0"/>
        <v>1.2456815</v>
      </c>
      <c r="L16" s="1">
        <v>7.6</v>
      </c>
      <c r="M16" s="1">
        <v>7.983</v>
      </c>
      <c r="N16" s="12">
        <f>M16/B16</f>
        <v>0.00281091549295775</v>
      </c>
      <c r="O16" s="1">
        <v>92</v>
      </c>
      <c r="P16" s="1">
        <v>0</v>
      </c>
    </row>
    <row r="17" s="1" customFormat="1" spans="1:16">
      <c r="A17" s="8">
        <v>4</v>
      </c>
      <c r="B17" s="8">
        <f t="shared" si="2"/>
        <v>2840</v>
      </c>
      <c r="C17" s="1" t="s">
        <v>16</v>
      </c>
      <c r="D17" s="9">
        <v>12</v>
      </c>
      <c r="E17" s="9">
        <v>5</v>
      </c>
      <c r="F17" s="9">
        <v>5.896</v>
      </c>
      <c r="G17" s="1">
        <v>10.2</v>
      </c>
      <c r="H17" s="1">
        <f t="shared" si="5"/>
        <v>48.3072</v>
      </c>
      <c r="I17" s="1">
        <f t="shared" ref="I17:I22" si="7">100*(H$16-H17)/H$16</f>
        <v>5.12820512820511</v>
      </c>
      <c r="J17" s="1">
        <v>94</v>
      </c>
      <c r="K17" s="1">
        <f t="shared" si="0"/>
        <v>1.1082904</v>
      </c>
      <c r="L17" s="1">
        <v>7.4</v>
      </c>
      <c r="M17" s="1">
        <v>7.304</v>
      </c>
      <c r="N17" s="12">
        <f>M17/B17</f>
        <v>0.00257183098591549</v>
      </c>
      <c r="O17" s="1">
        <v>87.5</v>
      </c>
      <c r="P17" s="1">
        <f>M17*E17*26.982/(3*60*(K$16-K17)*96485*D17)</f>
        <v>3.441380977856e-5</v>
      </c>
    </row>
    <row r="18" s="1" customFormat="1" spans="1:16">
      <c r="A18" s="8">
        <v>4</v>
      </c>
      <c r="B18" s="8">
        <f t="shared" si="2"/>
        <v>2840</v>
      </c>
      <c r="C18" s="1" t="s">
        <v>16</v>
      </c>
      <c r="D18" s="9">
        <v>12</v>
      </c>
      <c r="E18" s="9">
        <v>10</v>
      </c>
      <c r="F18" s="9">
        <v>4.632</v>
      </c>
      <c r="G18" s="1">
        <v>10.4</v>
      </c>
      <c r="H18" s="1">
        <f t="shared" si="5"/>
        <v>45.696</v>
      </c>
      <c r="I18" s="1">
        <f t="shared" si="7"/>
        <v>10.2564102564103</v>
      </c>
      <c r="J18" s="1">
        <v>36</v>
      </c>
      <c r="K18" s="1">
        <f t="shared" si="0"/>
        <v>0.7860968</v>
      </c>
      <c r="L18" s="1">
        <v>7.23</v>
      </c>
      <c r="M18" s="1">
        <v>7.222</v>
      </c>
      <c r="N18" s="12">
        <f>M18/B18</f>
        <v>0.00254295774647887</v>
      </c>
      <c r="O18" s="1">
        <v>86.7</v>
      </c>
      <c r="P18" s="1">
        <f>M18*E18*26.982/(3*60*(K$16-K18)*96485*D18)</f>
        <v>2.03447570261366e-5</v>
      </c>
    </row>
    <row r="19" s="1" customFormat="1" spans="1:16">
      <c r="A19" s="8">
        <v>4</v>
      </c>
      <c r="B19" s="8">
        <f t="shared" si="2"/>
        <v>2840</v>
      </c>
      <c r="C19" s="1" t="s">
        <v>16</v>
      </c>
      <c r="D19" s="9">
        <v>12</v>
      </c>
      <c r="E19" s="9">
        <v>15</v>
      </c>
      <c r="F19" s="9">
        <v>3.753</v>
      </c>
      <c r="G19" s="1">
        <v>10.5</v>
      </c>
      <c r="H19" s="1">
        <f t="shared" si="5"/>
        <v>44.3904</v>
      </c>
      <c r="I19" s="1">
        <f t="shared" si="7"/>
        <v>12.8205128205128</v>
      </c>
      <c r="J19" s="1">
        <v>24</v>
      </c>
      <c r="K19" s="1">
        <f t="shared" si="0"/>
        <v>0.5620397</v>
      </c>
      <c r="L19" s="1">
        <v>7.12</v>
      </c>
      <c r="M19" s="1">
        <v>6.769</v>
      </c>
      <c r="N19" s="12">
        <f>M19/B19</f>
        <v>0.00238345070422535</v>
      </c>
      <c r="O19" s="1">
        <v>81.3</v>
      </c>
      <c r="P19" s="1">
        <f>M19*E19*26.982/(3*60*(K$16-K19)*96485*D19)</f>
        <v>1.92286037457928e-5</v>
      </c>
    </row>
    <row r="20" s="1" customFormat="1" spans="1:16">
      <c r="A20" s="8">
        <v>4</v>
      </c>
      <c r="B20" s="8">
        <f t="shared" si="2"/>
        <v>2840</v>
      </c>
      <c r="C20" s="1" t="s">
        <v>16</v>
      </c>
      <c r="D20" s="9">
        <v>12</v>
      </c>
      <c r="E20" s="9">
        <v>20</v>
      </c>
      <c r="F20" s="9">
        <v>3.007</v>
      </c>
      <c r="G20" s="1">
        <v>10.6</v>
      </c>
      <c r="H20" s="1">
        <f t="shared" si="5"/>
        <v>43.0848</v>
      </c>
      <c r="I20" s="1">
        <f t="shared" si="7"/>
        <v>15.3846153846154</v>
      </c>
      <c r="J20" s="1">
        <v>12</v>
      </c>
      <c r="K20" s="1">
        <f t="shared" si="0"/>
        <v>0.3718843</v>
      </c>
      <c r="L20" s="1">
        <v>7.04</v>
      </c>
      <c r="M20" s="1">
        <v>6.668</v>
      </c>
      <c r="N20" s="12">
        <f>M20/B20</f>
        <v>0.00234788732394366</v>
      </c>
      <c r="O20" s="1">
        <v>80.2</v>
      </c>
      <c r="P20" s="1">
        <f>M20*E20*26.982/(3*60*(K$16-K20)*96485*D20)</f>
        <v>1.97594805650287e-5</v>
      </c>
    </row>
    <row r="21" s="1" customFormat="1" spans="1:16">
      <c r="A21" s="5">
        <v>4</v>
      </c>
      <c r="B21" s="5">
        <v>2840</v>
      </c>
      <c r="C21" s="6" t="s">
        <v>16</v>
      </c>
      <c r="D21" s="7">
        <v>12</v>
      </c>
      <c r="E21" s="7">
        <v>30</v>
      </c>
      <c r="F21" s="7">
        <v>2.812</v>
      </c>
      <c r="G21" s="6">
        <v>10.7</v>
      </c>
      <c r="H21" s="6">
        <f t="shared" si="5"/>
        <v>41.7792</v>
      </c>
      <c r="I21" s="6">
        <f t="shared" si="7"/>
        <v>17.9487179487179</v>
      </c>
      <c r="J21" s="6">
        <v>11</v>
      </c>
      <c r="K21" s="6">
        <f t="shared" si="0"/>
        <v>0.3221788</v>
      </c>
      <c r="L21" s="6"/>
      <c r="M21" s="6"/>
      <c r="N21" s="11"/>
      <c r="O21" s="6"/>
      <c r="P21" s="6"/>
    </row>
    <row r="22" s="1" customFormat="1" spans="1:16">
      <c r="A22" s="5">
        <v>4</v>
      </c>
      <c r="B22" s="5">
        <v>2840</v>
      </c>
      <c r="C22" s="6" t="s">
        <v>16</v>
      </c>
      <c r="D22" s="7">
        <v>12</v>
      </c>
      <c r="E22" s="7">
        <v>40</v>
      </c>
      <c r="F22" s="7">
        <v>2.521</v>
      </c>
      <c r="G22" s="6">
        <v>10.75</v>
      </c>
      <c r="H22" s="6">
        <f t="shared" si="5"/>
        <v>41.1264</v>
      </c>
      <c r="I22" s="6">
        <f t="shared" si="7"/>
        <v>19.2307692307692</v>
      </c>
      <c r="J22" s="6">
        <v>10</v>
      </c>
      <c r="K22" s="6">
        <f t="shared" si="0"/>
        <v>0.2480029</v>
      </c>
      <c r="L22" s="6"/>
      <c r="M22" s="6"/>
      <c r="N22" s="11"/>
      <c r="O22" s="6"/>
      <c r="P22" s="6"/>
    </row>
    <row r="23" s="1" customFormat="1" spans="1:16">
      <c r="A23" s="8">
        <v>4</v>
      </c>
      <c r="B23" s="8">
        <f t="shared" si="2"/>
        <v>2840</v>
      </c>
      <c r="C23" s="1" t="s">
        <v>16</v>
      </c>
      <c r="D23" s="9">
        <v>9</v>
      </c>
      <c r="E23" s="9">
        <v>0</v>
      </c>
      <c r="F23" s="9">
        <v>6.435</v>
      </c>
      <c r="G23" s="1">
        <v>10</v>
      </c>
      <c r="H23" s="1">
        <f t="shared" si="5"/>
        <v>50.9184</v>
      </c>
      <c r="I23" s="1">
        <f>100*(H$23-H23)/H$23</f>
        <v>0</v>
      </c>
      <c r="J23" s="1">
        <v>132</v>
      </c>
      <c r="K23" s="1">
        <f t="shared" si="0"/>
        <v>1.2456815</v>
      </c>
      <c r="L23" s="1">
        <v>7.6</v>
      </c>
      <c r="M23" s="1">
        <v>6.435</v>
      </c>
      <c r="N23" s="12">
        <f>M23/B23</f>
        <v>0.00226584507042254</v>
      </c>
      <c r="O23" s="1">
        <v>50.3</v>
      </c>
      <c r="P23" s="1" t="e">
        <f>M23*E23*26.982/(3*60*(K$16-K23)*96485*D23)</f>
        <v>#DIV/0!</v>
      </c>
    </row>
    <row r="24" s="1" customFormat="1" spans="1:16">
      <c r="A24" s="8">
        <v>4</v>
      </c>
      <c r="B24" s="8">
        <f t="shared" si="2"/>
        <v>2840</v>
      </c>
      <c r="C24" s="1" t="s">
        <v>16</v>
      </c>
      <c r="D24" s="9">
        <v>9</v>
      </c>
      <c r="E24" s="9">
        <v>5</v>
      </c>
      <c r="F24" s="9">
        <v>5.976</v>
      </c>
      <c r="G24" s="1">
        <v>10.1</v>
      </c>
      <c r="H24" s="1">
        <v>49</v>
      </c>
      <c r="I24" s="1">
        <f t="shared" ref="I24:I29" si="8">100*(H$23-H24)/H$23</f>
        <v>3.76759678230269</v>
      </c>
      <c r="J24" s="1">
        <v>70</v>
      </c>
      <c r="K24" s="1">
        <f t="shared" si="0"/>
        <v>1.1286824</v>
      </c>
      <c r="L24" s="1">
        <v>7.5</v>
      </c>
      <c r="M24" s="1">
        <v>6.001</v>
      </c>
      <c r="N24" s="12">
        <f>M24/B24</f>
        <v>0.00211302816901408</v>
      </c>
      <c r="O24" s="1">
        <v>50.2</v>
      </c>
      <c r="P24" s="1">
        <f>M24*E24*26.982/(3*60*(K$23-K24)*96485*D24)</f>
        <v>4.42700927963523e-5</v>
      </c>
    </row>
    <row r="25" s="1" customFormat="1" spans="1:16">
      <c r="A25" s="8">
        <v>4</v>
      </c>
      <c r="B25" s="8">
        <f t="shared" si="2"/>
        <v>2840</v>
      </c>
      <c r="C25" s="1" t="s">
        <v>16</v>
      </c>
      <c r="D25" s="9">
        <v>9</v>
      </c>
      <c r="E25" s="9">
        <v>10</v>
      </c>
      <c r="F25" s="9">
        <v>4.543</v>
      </c>
      <c r="G25" s="1">
        <v>10.2</v>
      </c>
      <c r="H25" s="1">
        <v>47</v>
      </c>
      <c r="I25" s="1">
        <f t="shared" si="8"/>
        <v>7.69544997486176</v>
      </c>
      <c r="J25" s="1">
        <v>57</v>
      </c>
      <c r="K25" s="1">
        <f t="shared" si="0"/>
        <v>0.7634107</v>
      </c>
      <c r="L25" s="1">
        <v>7.2</v>
      </c>
      <c r="M25" s="1">
        <v>5.572</v>
      </c>
      <c r="N25" s="12">
        <f>M25/B25</f>
        <v>0.00196197183098592</v>
      </c>
      <c r="O25" s="1">
        <v>49.7</v>
      </c>
      <c r="P25" s="1">
        <f>M25*E25*26.982/(3*60*(K$23-K25)*96485*D25)</f>
        <v>1.99443305064246e-5</v>
      </c>
    </row>
    <row r="26" s="1" customFormat="1" spans="1:16">
      <c r="A26" s="8">
        <v>4</v>
      </c>
      <c r="B26" s="8">
        <f t="shared" si="2"/>
        <v>2840</v>
      </c>
      <c r="C26" s="1" t="s">
        <v>16</v>
      </c>
      <c r="D26" s="9">
        <v>9</v>
      </c>
      <c r="E26" s="9">
        <v>15</v>
      </c>
      <c r="F26" s="9">
        <v>4.008</v>
      </c>
      <c r="G26" s="1">
        <v>10.4</v>
      </c>
      <c r="H26" s="1">
        <f t="shared" si="5"/>
        <v>45.696</v>
      </c>
      <c r="I26" s="1">
        <f t="shared" si="8"/>
        <v>10.2564102564103</v>
      </c>
      <c r="J26" s="1">
        <v>40</v>
      </c>
      <c r="K26" s="1">
        <f t="shared" si="0"/>
        <v>0.6270392</v>
      </c>
      <c r="L26" s="1">
        <v>7.1</v>
      </c>
      <c r="M26" s="1">
        <v>4.896</v>
      </c>
      <c r="N26" s="12">
        <f>M26/B26</f>
        <v>0.00172394366197183</v>
      </c>
      <c r="O26" s="1">
        <v>49.4</v>
      </c>
      <c r="P26" s="1">
        <f>M26*E26*26.982/(3*60*(K$23-K26)*96485*D26)</f>
        <v>2.04923789623653e-5</v>
      </c>
    </row>
    <row r="27" s="1" customFormat="1" spans="1:16">
      <c r="A27" s="8">
        <v>4</v>
      </c>
      <c r="B27" s="8">
        <f t="shared" si="2"/>
        <v>2840</v>
      </c>
      <c r="C27" s="1" t="s">
        <v>16</v>
      </c>
      <c r="D27" s="9">
        <v>9</v>
      </c>
      <c r="E27" s="9">
        <v>20</v>
      </c>
      <c r="F27" s="9">
        <v>3.987</v>
      </c>
      <c r="G27" s="1">
        <v>10.45</v>
      </c>
      <c r="H27" s="1">
        <f t="shared" si="5"/>
        <v>45.0432</v>
      </c>
      <c r="I27" s="1">
        <f t="shared" si="8"/>
        <v>11.5384615384615</v>
      </c>
      <c r="J27" s="1">
        <v>18</v>
      </c>
      <c r="K27" s="1">
        <f t="shared" si="0"/>
        <v>0.6216863</v>
      </c>
      <c r="L27" s="1">
        <v>7.1</v>
      </c>
      <c r="M27" s="1">
        <v>4.173</v>
      </c>
      <c r="N27" s="12">
        <f>M27/B27</f>
        <v>0.0014693661971831</v>
      </c>
      <c r="O27" s="1">
        <v>49.2</v>
      </c>
      <c r="P27" s="1">
        <f>M27*E27*26.982/(3*60*(K$23-K27)*96485*D27)</f>
        <v>2.30885390650531e-5</v>
      </c>
    </row>
    <row r="28" s="1" customFormat="1" spans="1:16">
      <c r="A28" s="5">
        <v>4</v>
      </c>
      <c r="B28" s="5">
        <f t="shared" si="2"/>
        <v>2840</v>
      </c>
      <c r="C28" s="6" t="s">
        <v>16</v>
      </c>
      <c r="D28" s="7">
        <v>9</v>
      </c>
      <c r="E28" s="7">
        <v>30</v>
      </c>
      <c r="F28" s="7">
        <v>3.565</v>
      </c>
      <c r="G28" s="6">
        <v>10.5</v>
      </c>
      <c r="H28" s="6">
        <f t="shared" si="5"/>
        <v>44.3904</v>
      </c>
      <c r="I28" s="6">
        <f t="shared" si="8"/>
        <v>12.8205128205128</v>
      </c>
      <c r="J28" s="6">
        <v>14</v>
      </c>
      <c r="K28" s="6">
        <f t="shared" si="0"/>
        <v>0.5141185</v>
      </c>
      <c r="L28" s="6"/>
      <c r="M28" s="6"/>
      <c r="N28" s="11"/>
      <c r="O28" s="6"/>
      <c r="P28" s="6"/>
    </row>
    <row r="29" s="1" customFormat="1" spans="1:16">
      <c r="A29" s="5">
        <v>4</v>
      </c>
      <c r="B29" s="5">
        <f t="shared" si="2"/>
        <v>2840</v>
      </c>
      <c r="C29" s="6" t="s">
        <v>16</v>
      </c>
      <c r="D29" s="7">
        <v>9</v>
      </c>
      <c r="E29" s="7">
        <v>40</v>
      </c>
      <c r="F29" s="7">
        <v>2.967</v>
      </c>
      <c r="G29" s="6">
        <v>10.5</v>
      </c>
      <c r="H29" s="6">
        <f t="shared" si="5"/>
        <v>44.3904</v>
      </c>
      <c r="I29" s="6">
        <f t="shared" si="8"/>
        <v>12.8205128205128</v>
      </c>
      <c r="J29" s="6">
        <v>10</v>
      </c>
      <c r="K29" s="6">
        <f t="shared" si="0"/>
        <v>0.3616883</v>
      </c>
      <c r="L29" s="6"/>
      <c r="M29" s="6"/>
      <c r="N29" s="11"/>
      <c r="O29" s="6"/>
      <c r="P29" s="6"/>
    </row>
    <row r="30" spans="1:14">
      <c r="A30" s="2">
        <v>4</v>
      </c>
      <c r="B30" s="2">
        <f t="shared" si="2"/>
        <v>2840</v>
      </c>
      <c r="C30" s="3" t="s">
        <v>16</v>
      </c>
      <c r="D30" s="4">
        <v>7</v>
      </c>
      <c r="E30" s="4">
        <v>0</v>
      </c>
      <c r="G30" s="3">
        <v>8</v>
      </c>
      <c r="H30" s="3">
        <f>8*(15.9-G30)*0.0408*1000/25</f>
        <v>103.1424</v>
      </c>
      <c r="I30" s="3">
        <f>100*(H$30-H30)/H$30</f>
        <v>0</v>
      </c>
      <c r="J30" s="3">
        <v>106</v>
      </c>
      <c r="L30" s="3">
        <v>6.58</v>
      </c>
      <c r="M30" s="3">
        <v>5.139</v>
      </c>
      <c r="N30" s="10">
        <f t="shared" ref="N30:N74" si="9">M30/B30</f>
        <v>0.00180950704225352</v>
      </c>
    </row>
    <row r="31" spans="1:14">
      <c r="A31" s="2">
        <v>4</v>
      </c>
      <c r="B31" s="2">
        <f t="shared" si="2"/>
        <v>2840</v>
      </c>
      <c r="C31" s="3" t="s">
        <v>16</v>
      </c>
      <c r="D31" s="4">
        <v>7</v>
      </c>
      <c r="E31" s="4">
        <v>5</v>
      </c>
      <c r="G31" s="3">
        <v>8.1</v>
      </c>
      <c r="H31" s="3">
        <f>8*(15.9-G31)*0.0408*1000/25</f>
        <v>101.8368</v>
      </c>
      <c r="I31" s="3">
        <f t="shared" ref="I31:I36" si="10">100*(H$30-H31)/H$30</f>
        <v>1.26582278481011</v>
      </c>
      <c r="J31" s="3">
        <v>64</v>
      </c>
      <c r="L31" s="3">
        <v>6.74</v>
      </c>
      <c r="M31" s="3">
        <v>5.4</v>
      </c>
      <c r="N31" s="10">
        <f t="shared" si="9"/>
        <v>0.00190140845070423</v>
      </c>
    </row>
    <row r="32" spans="1:14">
      <c r="A32" s="2">
        <v>4</v>
      </c>
      <c r="B32" s="2">
        <f t="shared" si="2"/>
        <v>2840</v>
      </c>
      <c r="C32" s="3" t="s">
        <v>16</v>
      </c>
      <c r="D32" s="4">
        <v>7</v>
      </c>
      <c r="E32" s="4">
        <v>10</v>
      </c>
      <c r="G32" s="3">
        <v>8.2</v>
      </c>
      <c r="H32" s="3">
        <f t="shared" ref="H32:H64" si="11">8*(15.9-G32)*0.0408*1000/25</f>
        <v>100.5312</v>
      </c>
      <c r="I32" s="3">
        <f t="shared" si="10"/>
        <v>2.53164556962025</v>
      </c>
      <c r="J32" s="3">
        <v>26</v>
      </c>
      <c r="L32" s="3">
        <v>6.38</v>
      </c>
      <c r="M32" s="3">
        <v>5.239</v>
      </c>
      <c r="N32" s="10">
        <f t="shared" si="9"/>
        <v>0.00184471830985915</v>
      </c>
    </row>
    <row r="33" spans="1:14">
      <c r="A33" s="2">
        <v>4</v>
      </c>
      <c r="B33" s="2">
        <f t="shared" si="2"/>
        <v>2840</v>
      </c>
      <c r="C33" s="3" t="s">
        <v>16</v>
      </c>
      <c r="D33" s="4">
        <v>7</v>
      </c>
      <c r="E33" s="4">
        <v>15</v>
      </c>
      <c r="G33" s="3">
        <v>8.2</v>
      </c>
      <c r="H33" s="3">
        <f t="shared" si="11"/>
        <v>100.5312</v>
      </c>
      <c r="I33" s="3">
        <f t="shared" si="10"/>
        <v>2.53164556962025</v>
      </c>
      <c r="J33" s="3">
        <v>19</v>
      </c>
      <c r="L33" s="3">
        <v>6.89</v>
      </c>
      <c r="M33" s="3">
        <v>0.849</v>
      </c>
      <c r="N33" s="10">
        <f t="shared" si="9"/>
        <v>0.000298943661971831</v>
      </c>
    </row>
    <row r="34" spans="1:14">
      <c r="A34" s="2">
        <v>4</v>
      </c>
      <c r="B34" s="2">
        <f t="shared" si="2"/>
        <v>2840</v>
      </c>
      <c r="C34" s="3" t="s">
        <v>16</v>
      </c>
      <c r="D34" s="4">
        <v>7</v>
      </c>
      <c r="E34" s="4">
        <v>20</v>
      </c>
      <c r="G34" s="3">
        <v>8.3</v>
      </c>
      <c r="H34" s="3">
        <f t="shared" si="11"/>
        <v>99.2256</v>
      </c>
      <c r="I34" s="3">
        <f t="shared" si="10"/>
        <v>3.79746835443037</v>
      </c>
      <c r="J34" s="3">
        <v>18</v>
      </c>
      <c r="L34" s="3">
        <v>6.8</v>
      </c>
      <c r="M34" s="3">
        <v>0.8</v>
      </c>
      <c r="N34" s="10">
        <f t="shared" si="9"/>
        <v>0.00028169014084507</v>
      </c>
    </row>
    <row r="35" spans="1:14">
      <c r="A35" s="2">
        <v>4</v>
      </c>
      <c r="B35" s="2">
        <f t="shared" si="2"/>
        <v>2840</v>
      </c>
      <c r="C35" s="3" t="s">
        <v>16</v>
      </c>
      <c r="D35" s="4">
        <v>7</v>
      </c>
      <c r="E35" s="4">
        <v>30</v>
      </c>
      <c r="G35" s="3">
        <v>8.4</v>
      </c>
      <c r="H35" s="3">
        <f t="shared" si="11"/>
        <v>97.92</v>
      </c>
      <c r="I35" s="3">
        <f t="shared" si="10"/>
        <v>5.0632911392405</v>
      </c>
      <c r="J35" s="3">
        <v>18</v>
      </c>
      <c r="L35" s="3">
        <v>6.8</v>
      </c>
      <c r="M35" s="3">
        <v>0.742</v>
      </c>
      <c r="N35" s="10">
        <f t="shared" si="9"/>
        <v>0.000261267605633803</v>
      </c>
    </row>
    <row r="36" spans="1:14">
      <c r="A36" s="2">
        <v>4</v>
      </c>
      <c r="B36" s="2">
        <f t="shared" si="2"/>
        <v>2840</v>
      </c>
      <c r="C36" s="3" t="s">
        <v>16</v>
      </c>
      <c r="D36" s="4">
        <v>7</v>
      </c>
      <c r="E36" s="4">
        <v>40</v>
      </c>
      <c r="G36" s="3">
        <v>8.4</v>
      </c>
      <c r="H36" s="3">
        <f t="shared" si="11"/>
        <v>97.92</v>
      </c>
      <c r="I36" s="3">
        <f t="shared" si="10"/>
        <v>5.0632911392405</v>
      </c>
      <c r="J36" s="3">
        <v>17</v>
      </c>
      <c r="L36" s="3">
        <v>7.15</v>
      </c>
      <c r="M36" s="3">
        <v>0.724</v>
      </c>
      <c r="N36" s="10">
        <f t="shared" si="9"/>
        <v>0.000254929577464789</v>
      </c>
    </row>
    <row r="37" spans="1:14">
      <c r="A37" s="2">
        <v>3</v>
      </c>
      <c r="B37" s="2">
        <f t="shared" si="2"/>
        <v>2130</v>
      </c>
      <c r="C37" s="3" t="s">
        <v>16</v>
      </c>
      <c r="D37" s="4">
        <v>10</v>
      </c>
      <c r="E37" s="4">
        <v>0</v>
      </c>
      <c r="G37" s="3">
        <v>8.4</v>
      </c>
      <c r="H37" s="3">
        <f t="shared" si="11"/>
        <v>97.92</v>
      </c>
      <c r="I37" s="3">
        <f>100*(H$37-H37)/H$37</f>
        <v>0</v>
      </c>
      <c r="J37" s="3">
        <v>106</v>
      </c>
      <c r="L37" s="3">
        <v>6.58</v>
      </c>
      <c r="M37" s="3">
        <v>5.139</v>
      </c>
      <c r="N37" s="10">
        <f t="shared" si="9"/>
        <v>0.00241267605633803</v>
      </c>
    </row>
    <row r="38" spans="1:14">
      <c r="A38" s="2">
        <v>3</v>
      </c>
      <c r="B38" s="2">
        <f t="shared" si="2"/>
        <v>2130</v>
      </c>
      <c r="C38" s="3" t="s">
        <v>16</v>
      </c>
      <c r="D38" s="4">
        <v>10</v>
      </c>
      <c r="E38" s="4">
        <v>5</v>
      </c>
      <c r="G38" s="3">
        <v>8.5</v>
      </c>
      <c r="H38" s="3">
        <f t="shared" si="11"/>
        <v>96.6144</v>
      </c>
      <c r="I38" s="3">
        <f t="shared" ref="I38:I43" si="12">100*(H$37-H38)/H$37</f>
        <v>1.33333333333335</v>
      </c>
      <c r="J38" s="3">
        <v>55</v>
      </c>
      <c r="L38" s="3">
        <v>6.88</v>
      </c>
      <c r="M38" s="3">
        <v>4.122</v>
      </c>
      <c r="N38" s="10">
        <f t="shared" si="9"/>
        <v>0.00193521126760563</v>
      </c>
    </row>
    <row r="39" spans="1:14">
      <c r="A39" s="2">
        <v>3</v>
      </c>
      <c r="B39" s="2">
        <f t="shared" si="2"/>
        <v>2130</v>
      </c>
      <c r="C39" s="3" t="s">
        <v>16</v>
      </c>
      <c r="D39" s="4">
        <v>10</v>
      </c>
      <c r="E39" s="4">
        <v>10</v>
      </c>
      <c r="G39" s="3">
        <v>8.6</v>
      </c>
      <c r="H39" s="3">
        <f t="shared" si="11"/>
        <v>95.3088</v>
      </c>
      <c r="I39" s="3">
        <f t="shared" si="12"/>
        <v>2.66666666666668</v>
      </c>
      <c r="J39" s="3">
        <v>49</v>
      </c>
      <c r="L39" s="3">
        <v>6.96</v>
      </c>
      <c r="M39" s="3">
        <v>3.833</v>
      </c>
      <c r="N39" s="10">
        <f t="shared" si="9"/>
        <v>0.00179953051643192</v>
      </c>
    </row>
    <row r="40" spans="1:14">
      <c r="A40" s="2">
        <v>3</v>
      </c>
      <c r="B40" s="2">
        <f t="shared" si="2"/>
        <v>2130</v>
      </c>
      <c r="C40" s="3" t="s">
        <v>16</v>
      </c>
      <c r="D40" s="4">
        <v>10</v>
      </c>
      <c r="E40" s="4">
        <v>15</v>
      </c>
      <c r="G40" s="3">
        <v>8.65</v>
      </c>
      <c r="H40" s="3">
        <f t="shared" si="11"/>
        <v>94.656</v>
      </c>
      <c r="I40" s="3">
        <f t="shared" si="12"/>
        <v>3.33333333333334</v>
      </c>
      <c r="J40" s="3">
        <v>28</v>
      </c>
      <c r="L40" s="3">
        <v>6.66</v>
      </c>
      <c r="M40" s="3">
        <v>3.787</v>
      </c>
      <c r="N40" s="10">
        <f t="shared" si="9"/>
        <v>0.00177793427230047</v>
      </c>
    </row>
    <row r="41" spans="1:14">
      <c r="A41" s="2">
        <v>3</v>
      </c>
      <c r="B41" s="2">
        <f t="shared" si="2"/>
        <v>2130</v>
      </c>
      <c r="C41" s="3" t="s">
        <v>16</v>
      </c>
      <c r="D41" s="4">
        <v>10</v>
      </c>
      <c r="E41" s="4">
        <v>20</v>
      </c>
      <c r="G41" s="3">
        <v>8.7</v>
      </c>
      <c r="H41" s="3">
        <f t="shared" si="11"/>
        <v>94.0032</v>
      </c>
      <c r="I41" s="3">
        <f t="shared" si="12"/>
        <v>3.99999999999998</v>
      </c>
      <c r="J41" s="3">
        <v>29</v>
      </c>
      <c r="L41" s="3">
        <v>6.68</v>
      </c>
      <c r="M41" s="3">
        <v>3.481</v>
      </c>
      <c r="N41" s="10">
        <f t="shared" si="9"/>
        <v>0.00163427230046948</v>
      </c>
    </row>
    <row r="42" spans="1:14">
      <c r="A42" s="2">
        <v>3</v>
      </c>
      <c r="B42" s="2">
        <f t="shared" si="2"/>
        <v>2130</v>
      </c>
      <c r="C42" s="3" t="s">
        <v>16</v>
      </c>
      <c r="D42" s="4">
        <v>10</v>
      </c>
      <c r="E42" s="4">
        <v>30</v>
      </c>
      <c r="G42" s="3">
        <v>8.75</v>
      </c>
      <c r="H42" s="3">
        <f t="shared" si="11"/>
        <v>93.3504</v>
      </c>
      <c r="I42" s="3">
        <f t="shared" si="12"/>
        <v>4.66666666666667</v>
      </c>
      <c r="J42" s="3">
        <v>23</v>
      </c>
      <c r="L42" s="3">
        <v>6.75</v>
      </c>
      <c r="M42" s="3">
        <v>1.134</v>
      </c>
      <c r="N42" s="10">
        <f t="shared" si="9"/>
        <v>0.000532394366197183</v>
      </c>
    </row>
    <row r="43" spans="1:14">
      <c r="A43" s="2">
        <v>3</v>
      </c>
      <c r="B43" s="2">
        <f t="shared" si="2"/>
        <v>2130</v>
      </c>
      <c r="C43" s="3" t="s">
        <v>16</v>
      </c>
      <c r="D43" s="4">
        <v>10</v>
      </c>
      <c r="E43" s="4">
        <v>40</v>
      </c>
      <c r="G43" s="3">
        <v>8.8</v>
      </c>
      <c r="H43" s="3">
        <f t="shared" si="11"/>
        <v>92.6976</v>
      </c>
      <c r="I43" s="3">
        <f t="shared" si="12"/>
        <v>5.33333333333334</v>
      </c>
      <c r="J43" s="3">
        <v>23</v>
      </c>
      <c r="L43" s="3">
        <v>6.79</v>
      </c>
      <c r="M43" s="3">
        <v>1.055</v>
      </c>
      <c r="N43" s="10">
        <f t="shared" si="9"/>
        <v>0.000495305164319249</v>
      </c>
    </row>
    <row r="44" spans="1:14">
      <c r="A44" s="2">
        <v>1</v>
      </c>
      <c r="B44" s="2">
        <f t="shared" si="2"/>
        <v>710</v>
      </c>
      <c r="C44" s="3" t="s">
        <v>16</v>
      </c>
      <c r="D44" s="4">
        <v>30</v>
      </c>
      <c r="E44" s="4">
        <v>0</v>
      </c>
      <c r="G44" s="3">
        <v>8.4</v>
      </c>
      <c r="H44" s="3">
        <f t="shared" si="11"/>
        <v>97.92</v>
      </c>
      <c r="I44" s="3">
        <f>100*(H$44-H44)/H$44</f>
        <v>0</v>
      </c>
      <c r="J44" s="3">
        <v>130</v>
      </c>
      <c r="L44" s="3">
        <v>6.58</v>
      </c>
      <c r="M44" s="3">
        <v>0.313</v>
      </c>
      <c r="N44" s="10">
        <f t="shared" si="9"/>
        <v>0.000440845070422535</v>
      </c>
    </row>
    <row r="45" spans="1:14">
      <c r="A45" s="2">
        <v>1</v>
      </c>
      <c r="B45" s="2">
        <f t="shared" si="2"/>
        <v>710</v>
      </c>
      <c r="C45" s="3" t="s">
        <v>16</v>
      </c>
      <c r="D45" s="4">
        <v>30</v>
      </c>
      <c r="E45" s="4">
        <v>5</v>
      </c>
      <c r="G45" s="3">
        <v>8.5</v>
      </c>
      <c r="H45" s="3">
        <f t="shared" si="11"/>
        <v>96.6144</v>
      </c>
      <c r="I45" s="3">
        <f t="shared" ref="I45:I50" si="13">100*(H$44-H45)/H$44</f>
        <v>1.33333333333335</v>
      </c>
      <c r="J45" s="3">
        <v>117</v>
      </c>
      <c r="L45" s="3">
        <v>6.79</v>
      </c>
      <c r="M45" s="3">
        <v>0.3</v>
      </c>
      <c r="N45" s="10">
        <f t="shared" si="9"/>
        <v>0.000422535211267606</v>
      </c>
    </row>
    <row r="46" spans="1:14">
      <c r="A46" s="2">
        <v>1</v>
      </c>
      <c r="B46" s="2">
        <f t="shared" si="2"/>
        <v>710</v>
      </c>
      <c r="C46" s="3" t="s">
        <v>16</v>
      </c>
      <c r="D46" s="4">
        <v>30</v>
      </c>
      <c r="E46" s="4">
        <v>10</v>
      </c>
      <c r="G46" s="3">
        <v>8.6</v>
      </c>
      <c r="H46" s="3">
        <f t="shared" si="11"/>
        <v>95.3088</v>
      </c>
      <c r="I46" s="3">
        <f t="shared" si="13"/>
        <v>2.66666666666668</v>
      </c>
      <c r="J46" s="3">
        <v>106</v>
      </c>
      <c r="L46" s="3">
        <v>6.8</v>
      </c>
      <c r="M46" s="3">
        <v>0.3</v>
      </c>
      <c r="N46" s="10">
        <f t="shared" si="9"/>
        <v>0.000422535211267606</v>
      </c>
    </row>
    <row r="47" spans="1:14">
      <c r="A47" s="2">
        <v>1</v>
      </c>
      <c r="B47" s="2">
        <f t="shared" si="2"/>
        <v>710</v>
      </c>
      <c r="C47" s="3" t="s">
        <v>16</v>
      </c>
      <c r="D47" s="4">
        <v>30</v>
      </c>
      <c r="E47" s="4">
        <v>15</v>
      </c>
      <c r="G47" s="3">
        <v>8.68</v>
      </c>
      <c r="H47" s="3">
        <f t="shared" si="11"/>
        <v>94.26432</v>
      </c>
      <c r="I47" s="3">
        <f t="shared" si="13"/>
        <v>3.73333333333332</v>
      </c>
      <c r="J47" s="3">
        <v>104</v>
      </c>
      <c r="L47" s="3">
        <v>6.88</v>
      </c>
      <c r="M47" s="3">
        <v>0.3</v>
      </c>
      <c r="N47" s="10">
        <f t="shared" si="9"/>
        <v>0.000422535211267606</v>
      </c>
    </row>
    <row r="48" spans="1:14">
      <c r="A48" s="2">
        <v>1</v>
      </c>
      <c r="B48" s="2">
        <f t="shared" si="2"/>
        <v>710</v>
      </c>
      <c r="C48" s="3" t="s">
        <v>16</v>
      </c>
      <c r="D48" s="4">
        <v>30</v>
      </c>
      <c r="E48" s="4">
        <v>20</v>
      </c>
      <c r="G48" s="3">
        <v>8.7</v>
      </c>
      <c r="H48" s="3">
        <f t="shared" si="11"/>
        <v>94.0032</v>
      </c>
      <c r="I48" s="3">
        <f t="shared" si="13"/>
        <v>3.99999999999998</v>
      </c>
      <c r="J48" s="3">
        <v>100</v>
      </c>
      <c r="L48" s="3">
        <v>6.91</v>
      </c>
      <c r="M48" s="3">
        <v>0.3</v>
      </c>
      <c r="N48" s="10">
        <f t="shared" si="9"/>
        <v>0.000422535211267606</v>
      </c>
    </row>
    <row r="49" spans="1:14">
      <c r="A49" s="2">
        <v>1</v>
      </c>
      <c r="B49" s="2">
        <f t="shared" si="2"/>
        <v>710</v>
      </c>
      <c r="C49" s="3" t="s">
        <v>16</v>
      </c>
      <c r="D49" s="4">
        <v>30</v>
      </c>
      <c r="E49" s="4">
        <v>30</v>
      </c>
      <c r="G49" s="3">
        <v>8.7</v>
      </c>
      <c r="H49" s="3">
        <f t="shared" si="11"/>
        <v>94.0032</v>
      </c>
      <c r="I49" s="3">
        <f t="shared" si="13"/>
        <v>3.99999999999998</v>
      </c>
      <c r="J49" s="3">
        <v>100</v>
      </c>
      <c r="L49" s="3">
        <v>6.92</v>
      </c>
      <c r="M49" s="3">
        <v>0.3</v>
      </c>
      <c r="N49" s="10">
        <f t="shared" si="9"/>
        <v>0.000422535211267606</v>
      </c>
    </row>
    <row r="50" spans="1:14">
      <c r="A50" s="2">
        <v>1</v>
      </c>
      <c r="B50" s="2">
        <f t="shared" si="2"/>
        <v>710</v>
      </c>
      <c r="C50" s="3" t="s">
        <v>16</v>
      </c>
      <c r="D50" s="4">
        <v>30</v>
      </c>
      <c r="E50" s="4">
        <v>40</v>
      </c>
      <c r="G50" s="3">
        <v>8.7</v>
      </c>
      <c r="H50" s="3">
        <f t="shared" si="11"/>
        <v>94.0032</v>
      </c>
      <c r="I50" s="3">
        <f t="shared" si="13"/>
        <v>3.99999999999998</v>
      </c>
      <c r="J50" s="3">
        <v>99</v>
      </c>
      <c r="L50" s="3">
        <v>6.95</v>
      </c>
      <c r="M50" s="3">
        <v>0.3</v>
      </c>
      <c r="N50" s="10">
        <f t="shared" si="9"/>
        <v>0.000422535211267606</v>
      </c>
    </row>
    <row r="51" spans="1:14">
      <c r="A51" s="2">
        <v>1</v>
      </c>
      <c r="B51" s="2">
        <f t="shared" si="2"/>
        <v>710</v>
      </c>
      <c r="C51" s="3" t="s">
        <v>16</v>
      </c>
      <c r="D51" s="4">
        <v>20</v>
      </c>
      <c r="E51" s="4">
        <v>0</v>
      </c>
      <c r="G51" s="3">
        <v>8.4</v>
      </c>
      <c r="H51" s="3">
        <f t="shared" si="11"/>
        <v>97.92</v>
      </c>
      <c r="I51" s="3">
        <f>100*(H$51-H51)/H$51</f>
        <v>0</v>
      </c>
      <c r="J51" s="3">
        <v>130</v>
      </c>
      <c r="L51" s="3">
        <v>6.58</v>
      </c>
      <c r="M51" s="3">
        <v>0.208</v>
      </c>
      <c r="N51" s="10">
        <f t="shared" si="9"/>
        <v>0.000292957746478873</v>
      </c>
    </row>
    <row r="52" spans="1:14">
      <c r="A52" s="2">
        <v>1</v>
      </c>
      <c r="B52" s="2">
        <f t="shared" si="2"/>
        <v>710</v>
      </c>
      <c r="C52" s="3" t="s">
        <v>16</v>
      </c>
      <c r="D52" s="4">
        <v>20</v>
      </c>
      <c r="E52" s="4">
        <v>5</v>
      </c>
      <c r="G52" s="3">
        <v>8.45</v>
      </c>
      <c r="H52" s="3">
        <f t="shared" si="11"/>
        <v>97.2672</v>
      </c>
      <c r="I52" s="3">
        <f t="shared" ref="I52:I57" si="14">100*(H$51-H52)/H$51</f>
        <v>0.666666666666666</v>
      </c>
      <c r="J52" s="3">
        <v>120</v>
      </c>
      <c r="L52" s="3">
        <v>6.77</v>
      </c>
      <c r="M52" s="3">
        <v>0.2</v>
      </c>
      <c r="N52" s="10">
        <f t="shared" si="9"/>
        <v>0.00028169014084507</v>
      </c>
    </row>
    <row r="53" spans="1:14">
      <c r="A53" s="2">
        <v>1</v>
      </c>
      <c r="B53" s="2">
        <f t="shared" si="2"/>
        <v>710</v>
      </c>
      <c r="C53" s="3" t="s">
        <v>16</v>
      </c>
      <c r="D53" s="4">
        <v>20</v>
      </c>
      <c r="E53" s="4">
        <v>10</v>
      </c>
      <c r="G53" s="3">
        <v>8.5</v>
      </c>
      <c r="H53" s="3">
        <f t="shared" si="11"/>
        <v>96.6144</v>
      </c>
      <c r="I53" s="3">
        <f t="shared" si="14"/>
        <v>1.33333333333335</v>
      </c>
      <c r="J53" s="3">
        <v>108</v>
      </c>
      <c r="L53" s="3">
        <v>6.79</v>
      </c>
      <c r="M53" s="3">
        <v>0.2</v>
      </c>
      <c r="N53" s="10">
        <f t="shared" si="9"/>
        <v>0.00028169014084507</v>
      </c>
    </row>
    <row r="54" spans="1:14">
      <c r="A54" s="2">
        <v>1</v>
      </c>
      <c r="B54" s="2">
        <f t="shared" si="2"/>
        <v>710</v>
      </c>
      <c r="C54" s="3" t="s">
        <v>16</v>
      </c>
      <c r="D54" s="4">
        <v>20</v>
      </c>
      <c r="E54" s="4">
        <v>15</v>
      </c>
      <c r="G54" s="3">
        <v>8.55</v>
      </c>
      <c r="H54" s="3">
        <f t="shared" si="11"/>
        <v>95.9616</v>
      </c>
      <c r="I54" s="3">
        <f t="shared" si="14"/>
        <v>2.00000000000001</v>
      </c>
      <c r="J54" s="3">
        <v>106</v>
      </c>
      <c r="L54" s="3">
        <v>6.85</v>
      </c>
      <c r="M54" s="3">
        <v>0.2</v>
      </c>
      <c r="N54" s="10">
        <f t="shared" si="9"/>
        <v>0.00028169014084507</v>
      </c>
    </row>
    <row r="55" spans="1:14">
      <c r="A55" s="2">
        <v>1</v>
      </c>
      <c r="B55" s="2">
        <f t="shared" si="2"/>
        <v>710</v>
      </c>
      <c r="C55" s="3" t="s">
        <v>16</v>
      </c>
      <c r="D55" s="4">
        <v>20</v>
      </c>
      <c r="E55" s="4">
        <v>20</v>
      </c>
      <c r="G55" s="3">
        <v>8.6</v>
      </c>
      <c r="H55" s="3">
        <f t="shared" si="11"/>
        <v>95.3088</v>
      </c>
      <c r="I55" s="3">
        <f t="shared" si="14"/>
        <v>2.66666666666668</v>
      </c>
      <c r="J55" s="3">
        <v>100</v>
      </c>
      <c r="L55" s="3">
        <v>6.89</v>
      </c>
      <c r="M55" s="3">
        <v>0.2</v>
      </c>
      <c r="N55" s="10">
        <f t="shared" si="9"/>
        <v>0.00028169014084507</v>
      </c>
    </row>
    <row r="56" spans="1:14">
      <c r="A56" s="2">
        <v>1</v>
      </c>
      <c r="B56" s="2">
        <f t="shared" si="2"/>
        <v>710</v>
      </c>
      <c r="C56" s="3" t="s">
        <v>16</v>
      </c>
      <c r="D56" s="4">
        <v>20</v>
      </c>
      <c r="E56" s="4">
        <v>30</v>
      </c>
      <c r="G56" s="3">
        <v>8.6</v>
      </c>
      <c r="H56" s="3">
        <f t="shared" si="11"/>
        <v>95.3088</v>
      </c>
      <c r="I56" s="3">
        <f t="shared" si="14"/>
        <v>2.66666666666668</v>
      </c>
      <c r="J56" s="3">
        <v>100</v>
      </c>
      <c r="L56" s="3">
        <v>6.9</v>
      </c>
      <c r="M56" s="3">
        <v>0.2</v>
      </c>
      <c r="N56" s="10">
        <f t="shared" si="9"/>
        <v>0.00028169014084507</v>
      </c>
    </row>
    <row r="57" spans="1:14">
      <c r="A57" s="2">
        <v>1</v>
      </c>
      <c r="B57" s="2">
        <f t="shared" si="2"/>
        <v>710</v>
      </c>
      <c r="C57" s="3" t="s">
        <v>16</v>
      </c>
      <c r="D57" s="4">
        <v>20</v>
      </c>
      <c r="E57" s="4">
        <v>40</v>
      </c>
      <c r="G57" s="3">
        <v>8.6</v>
      </c>
      <c r="H57" s="3">
        <f t="shared" si="11"/>
        <v>95.3088</v>
      </c>
      <c r="I57" s="3">
        <f t="shared" si="14"/>
        <v>2.66666666666668</v>
      </c>
      <c r="J57" s="3">
        <v>99</v>
      </c>
      <c r="L57" s="3">
        <v>6.95</v>
      </c>
      <c r="M57" s="3">
        <v>0.2</v>
      </c>
      <c r="N57" s="10">
        <f t="shared" si="9"/>
        <v>0.00028169014084507</v>
      </c>
    </row>
    <row r="58" spans="1:14">
      <c r="A58" s="2">
        <v>1</v>
      </c>
      <c r="B58" s="2">
        <f t="shared" si="2"/>
        <v>710</v>
      </c>
      <c r="C58" s="3" t="s">
        <v>16</v>
      </c>
      <c r="D58" s="4">
        <v>10</v>
      </c>
      <c r="E58" s="4">
        <v>0</v>
      </c>
      <c r="G58" s="3">
        <v>8.4</v>
      </c>
      <c r="H58" s="3">
        <f t="shared" si="11"/>
        <v>97.92</v>
      </c>
      <c r="I58" s="3">
        <f>100*(H$58-H58)/H$58</f>
        <v>0</v>
      </c>
      <c r="J58" s="3">
        <v>130</v>
      </c>
      <c r="L58" s="3">
        <v>6.58</v>
      </c>
      <c r="M58" s="3">
        <v>0.153</v>
      </c>
      <c r="N58" s="10">
        <f t="shared" si="9"/>
        <v>0.000215492957746479</v>
      </c>
    </row>
    <row r="59" spans="1:14">
      <c r="A59" s="2">
        <v>1</v>
      </c>
      <c r="B59" s="2">
        <f t="shared" si="2"/>
        <v>710</v>
      </c>
      <c r="C59" s="3" t="s">
        <v>16</v>
      </c>
      <c r="D59" s="4">
        <v>10</v>
      </c>
      <c r="E59" s="4">
        <v>5</v>
      </c>
      <c r="G59" s="3">
        <v>8.43</v>
      </c>
      <c r="H59" s="3">
        <f t="shared" si="11"/>
        <v>97.52832</v>
      </c>
      <c r="I59" s="3">
        <f t="shared" ref="I59:I64" si="15">100*(H$58-H59)/H$58</f>
        <v>0.399999999999994</v>
      </c>
      <c r="J59" s="3">
        <v>123</v>
      </c>
      <c r="L59" s="3">
        <v>6.75</v>
      </c>
      <c r="M59" s="3">
        <v>0.15</v>
      </c>
      <c r="N59" s="10">
        <f t="shared" si="9"/>
        <v>0.000211267605633803</v>
      </c>
    </row>
    <row r="60" spans="1:14">
      <c r="A60" s="2">
        <v>1</v>
      </c>
      <c r="B60" s="2">
        <f t="shared" si="2"/>
        <v>710</v>
      </c>
      <c r="C60" s="3" t="s">
        <v>16</v>
      </c>
      <c r="D60" s="4">
        <v>10</v>
      </c>
      <c r="E60" s="4">
        <v>10</v>
      </c>
      <c r="G60" s="3">
        <v>8.45</v>
      </c>
      <c r="H60" s="3">
        <f t="shared" si="11"/>
        <v>97.2672</v>
      </c>
      <c r="I60" s="3">
        <f t="shared" si="15"/>
        <v>0.666666666666666</v>
      </c>
      <c r="J60" s="3">
        <v>110</v>
      </c>
      <c r="L60" s="3">
        <v>6.79</v>
      </c>
      <c r="M60" s="3">
        <v>0.15</v>
      </c>
      <c r="N60" s="10">
        <f t="shared" si="9"/>
        <v>0.000211267605633803</v>
      </c>
    </row>
    <row r="61" spans="1:14">
      <c r="A61" s="2">
        <v>1</v>
      </c>
      <c r="B61" s="2">
        <f t="shared" si="2"/>
        <v>710</v>
      </c>
      <c r="C61" s="3" t="s">
        <v>16</v>
      </c>
      <c r="D61" s="4">
        <v>10</v>
      </c>
      <c r="E61" s="4">
        <v>15</v>
      </c>
      <c r="G61" s="3">
        <v>8.5</v>
      </c>
      <c r="H61" s="3">
        <f t="shared" si="11"/>
        <v>96.6144</v>
      </c>
      <c r="I61" s="3">
        <f t="shared" si="15"/>
        <v>1.33333333333335</v>
      </c>
      <c r="J61" s="3">
        <v>106</v>
      </c>
      <c r="L61" s="3">
        <v>6.83</v>
      </c>
      <c r="M61" s="3">
        <v>0.15</v>
      </c>
      <c r="N61" s="10">
        <f t="shared" si="9"/>
        <v>0.000211267605633803</v>
      </c>
    </row>
    <row r="62" spans="1:14">
      <c r="A62" s="2">
        <v>1</v>
      </c>
      <c r="B62" s="2">
        <f t="shared" si="2"/>
        <v>710</v>
      </c>
      <c r="C62" s="3" t="s">
        <v>16</v>
      </c>
      <c r="D62" s="4">
        <v>10</v>
      </c>
      <c r="E62" s="4">
        <v>20</v>
      </c>
      <c r="G62" s="3">
        <v>8.5</v>
      </c>
      <c r="H62" s="3">
        <f t="shared" si="11"/>
        <v>96.6144</v>
      </c>
      <c r="I62" s="3">
        <f t="shared" si="15"/>
        <v>1.33333333333335</v>
      </c>
      <c r="J62" s="3">
        <v>102</v>
      </c>
      <c r="L62" s="3">
        <v>6.9</v>
      </c>
      <c r="M62" s="3">
        <v>0.15</v>
      </c>
      <c r="N62" s="10">
        <f t="shared" si="9"/>
        <v>0.000211267605633803</v>
      </c>
    </row>
    <row r="63" spans="1:14">
      <c r="A63" s="2">
        <v>1</v>
      </c>
      <c r="B63" s="2">
        <f t="shared" si="2"/>
        <v>710</v>
      </c>
      <c r="C63" s="3" t="s">
        <v>16</v>
      </c>
      <c r="D63" s="4">
        <v>10</v>
      </c>
      <c r="E63" s="4">
        <v>30</v>
      </c>
      <c r="G63" s="3">
        <v>8.5</v>
      </c>
      <c r="H63" s="3">
        <f t="shared" si="11"/>
        <v>96.6144</v>
      </c>
      <c r="I63" s="3">
        <f t="shared" si="15"/>
        <v>1.33333333333335</v>
      </c>
      <c r="J63" s="3">
        <v>100</v>
      </c>
      <c r="L63" s="3">
        <v>6.9</v>
      </c>
      <c r="M63" s="3">
        <v>0.15</v>
      </c>
      <c r="N63" s="10">
        <f t="shared" si="9"/>
        <v>0.000211267605633803</v>
      </c>
    </row>
    <row r="64" spans="1:14">
      <c r="A64" s="2">
        <v>1</v>
      </c>
      <c r="B64" s="2">
        <f t="shared" si="2"/>
        <v>710</v>
      </c>
      <c r="C64" s="3" t="s">
        <v>16</v>
      </c>
      <c r="D64" s="4">
        <v>10</v>
      </c>
      <c r="E64" s="4">
        <v>40</v>
      </c>
      <c r="G64" s="3">
        <v>8.5</v>
      </c>
      <c r="H64" s="3">
        <f t="shared" si="11"/>
        <v>96.6144</v>
      </c>
      <c r="I64" s="3">
        <f t="shared" si="15"/>
        <v>1.33333333333335</v>
      </c>
      <c r="J64" s="3">
        <v>100</v>
      </c>
      <c r="L64" s="3">
        <v>6.95</v>
      </c>
      <c r="M64" s="3">
        <v>0.15</v>
      </c>
      <c r="N64" s="10">
        <f t="shared" si="9"/>
        <v>0.000211267605633803</v>
      </c>
    </row>
    <row r="65" spans="1:16">
      <c r="A65" s="2">
        <v>4</v>
      </c>
      <c r="B65" s="2">
        <f t="shared" si="2"/>
        <v>2840</v>
      </c>
      <c r="C65" s="3" t="s">
        <v>17</v>
      </c>
      <c r="D65" s="4">
        <v>14</v>
      </c>
      <c r="E65" s="4">
        <v>0</v>
      </c>
      <c r="F65" s="4">
        <v>6.435</v>
      </c>
      <c r="G65" s="3">
        <v>9.8</v>
      </c>
      <c r="H65" s="3">
        <f>8*(13.9-G65)*0.0408*1000/25</f>
        <v>53.5296</v>
      </c>
      <c r="I65" s="3">
        <f>100*(H$65-H65)/H$65</f>
        <v>0</v>
      </c>
      <c r="J65" s="3">
        <v>132</v>
      </c>
      <c r="K65" s="3">
        <f t="shared" ref="K65:K74" si="16">0.2549*F65-0.3946</f>
        <v>1.2456815</v>
      </c>
      <c r="L65" s="3">
        <v>7.6</v>
      </c>
      <c r="M65" s="3">
        <v>9.876</v>
      </c>
      <c r="N65" s="10">
        <f t="shared" si="9"/>
        <v>0.00347746478873239</v>
      </c>
      <c r="O65" s="3">
        <v>137.6</v>
      </c>
      <c r="P65" s="3">
        <v>0</v>
      </c>
    </row>
    <row r="66" spans="1:16">
      <c r="A66" s="2">
        <v>4</v>
      </c>
      <c r="B66" s="2">
        <f t="shared" si="2"/>
        <v>2840</v>
      </c>
      <c r="C66" s="3" t="s">
        <v>17</v>
      </c>
      <c r="D66" s="4">
        <v>14</v>
      </c>
      <c r="E66" s="4">
        <v>5</v>
      </c>
      <c r="F66" s="4">
        <v>5.24</v>
      </c>
      <c r="G66" s="3">
        <v>10.2</v>
      </c>
      <c r="H66" s="3">
        <f t="shared" ref="H66:H74" si="17">8*(13.9-G66)*0.0408*1000/25</f>
        <v>48.3072</v>
      </c>
      <c r="I66" s="3">
        <f t="shared" ref="I66:I69" si="18">100*(H$65-H66)/H$65</f>
        <v>9.75609756097555</v>
      </c>
      <c r="J66" s="3">
        <v>25</v>
      </c>
      <c r="K66" s="3">
        <f t="shared" si="16"/>
        <v>0.941076</v>
      </c>
      <c r="L66" s="3">
        <v>7.26</v>
      </c>
      <c r="M66" s="3">
        <v>8.512</v>
      </c>
      <c r="N66" s="10">
        <f t="shared" si="9"/>
        <v>0.00299718309859155</v>
      </c>
      <c r="O66" s="3">
        <v>119.5</v>
      </c>
      <c r="P66" s="3">
        <f>M66*E66*26.982/(3*60*(K$65-K66)*96485*D66)</f>
        <v>1.55052107817139e-5</v>
      </c>
    </row>
    <row r="67" spans="1:16">
      <c r="A67" s="2">
        <v>4</v>
      </c>
      <c r="B67" s="2">
        <f t="shared" si="2"/>
        <v>2840</v>
      </c>
      <c r="C67" s="3" t="s">
        <v>17</v>
      </c>
      <c r="D67" s="4">
        <v>14</v>
      </c>
      <c r="E67" s="4">
        <v>10</v>
      </c>
      <c r="F67" s="4">
        <v>4.13</v>
      </c>
      <c r="G67" s="3">
        <v>10.4</v>
      </c>
      <c r="H67" s="3">
        <f t="shared" si="17"/>
        <v>45.696</v>
      </c>
      <c r="I67" s="3">
        <f t="shared" si="18"/>
        <v>14.6341463414634</v>
      </c>
      <c r="J67" s="3">
        <v>20</v>
      </c>
      <c r="K67" s="3">
        <f t="shared" si="16"/>
        <v>0.658137</v>
      </c>
      <c r="L67" s="3">
        <v>7</v>
      </c>
      <c r="M67" s="3">
        <v>7.783</v>
      </c>
      <c r="N67" s="10">
        <f t="shared" si="9"/>
        <v>0.00274049295774648</v>
      </c>
      <c r="O67" s="3">
        <v>108.8</v>
      </c>
      <c r="P67" s="3">
        <f>M67*E67*26.982/(3*60*(K$65-K67)*96485*D67)</f>
        <v>1.47000922866403e-5</v>
      </c>
    </row>
    <row r="68" spans="1:16">
      <c r="A68" s="2">
        <v>4</v>
      </c>
      <c r="B68" s="2">
        <f t="shared" si="2"/>
        <v>2840</v>
      </c>
      <c r="C68" s="3" t="s">
        <v>17</v>
      </c>
      <c r="D68" s="4">
        <v>14</v>
      </c>
      <c r="E68" s="4">
        <v>15</v>
      </c>
      <c r="F68" s="4">
        <v>3.43</v>
      </c>
      <c r="G68" s="3">
        <v>10.5</v>
      </c>
      <c r="H68" s="3">
        <f t="shared" si="17"/>
        <v>44.3904</v>
      </c>
      <c r="I68" s="3">
        <f t="shared" si="18"/>
        <v>17.0731707317073</v>
      </c>
      <c r="J68" s="3">
        <v>10</v>
      </c>
      <c r="K68" s="3">
        <f t="shared" si="16"/>
        <v>0.479707</v>
      </c>
      <c r="L68" s="3">
        <v>6.98</v>
      </c>
      <c r="M68" s="3">
        <v>6.954</v>
      </c>
      <c r="N68" s="10">
        <f t="shared" si="9"/>
        <v>0.00244859154929577</v>
      </c>
      <c r="O68" s="3">
        <v>97.9</v>
      </c>
      <c r="P68" s="3">
        <f>M68*E68*26.982/(3*60*(K$65-K68)*96485*D68)</f>
        <v>1.51121212553442e-5</v>
      </c>
    </row>
    <row r="69" spans="1:16">
      <c r="A69" s="2">
        <v>4</v>
      </c>
      <c r="B69" s="2">
        <f t="shared" si="2"/>
        <v>2840</v>
      </c>
      <c r="C69" s="3" t="s">
        <v>17</v>
      </c>
      <c r="D69" s="4">
        <v>14</v>
      </c>
      <c r="E69" s="4">
        <v>20</v>
      </c>
      <c r="F69" s="4">
        <v>2.22</v>
      </c>
      <c r="G69" s="3">
        <v>10.5</v>
      </c>
      <c r="H69" s="3">
        <f t="shared" si="17"/>
        <v>44.3904</v>
      </c>
      <c r="I69" s="3">
        <f t="shared" si="18"/>
        <v>17.0731707317073</v>
      </c>
      <c r="J69" s="3">
        <v>4</v>
      </c>
      <c r="K69" s="3">
        <f t="shared" si="16"/>
        <v>0.171278</v>
      </c>
      <c r="L69" s="3">
        <v>6.96</v>
      </c>
      <c r="M69" s="3">
        <v>6.664</v>
      </c>
      <c r="N69" s="10">
        <f t="shared" si="9"/>
        <v>0.00234647887323944</v>
      </c>
      <c r="O69" s="3">
        <v>92.9</v>
      </c>
      <c r="P69" s="3">
        <f>M69*E69*26.982/(3*60*(K$65-K69)*96485*D69)</f>
        <v>1.37661141238286e-5</v>
      </c>
    </row>
    <row r="70" spans="1:16">
      <c r="A70" s="2">
        <v>4</v>
      </c>
      <c r="B70" s="2">
        <f t="shared" si="2"/>
        <v>2840</v>
      </c>
      <c r="C70" s="3" t="s">
        <v>18</v>
      </c>
      <c r="D70" s="4">
        <v>14</v>
      </c>
      <c r="E70" s="4">
        <v>0</v>
      </c>
      <c r="F70" s="4">
        <v>6.435</v>
      </c>
      <c r="G70" s="3">
        <v>9.8</v>
      </c>
      <c r="H70" s="3">
        <f t="shared" si="17"/>
        <v>53.5296</v>
      </c>
      <c r="I70" s="3">
        <f>100*(H$70-H70)/H$70</f>
        <v>0</v>
      </c>
      <c r="J70" s="3">
        <v>132</v>
      </c>
      <c r="K70" s="3">
        <f t="shared" si="16"/>
        <v>1.2456815</v>
      </c>
      <c r="L70" s="3">
        <v>7.6</v>
      </c>
      <c r="M70" s="3">
        <v>9.61</v>
      </c>
      <c r="N70" s="10">
        <f t="shared" si="9"/>
        <v>0.00338380281690141</v>
      </c>
      <c r="O70" s="3">
        <v>137.6</v>
      </c>
      <c r="P70" s="3">
        <v>0</v>
      </c>
    </row>
    <row r="71" spans="1:16">
      <c r="A71" s="2">
        <v>4</v>
      </c>
      <c r="B71" s="2">
        <f t="shared" si="2"/>
        <v>2840</v>
      </c>
      <c r="C71" s="3" t="s">
        <v>18</v>
      </c>
      <c r="D71" s="4">
        <v>14</v>
      </c>
      <c r="E71" s="4">
        <v>5</v>
      </c>
      <c r="F71" s="4">
        <v>5.58</v>
      </c>
      <c r="G71" s="3">
        <v>10.2</v>
      </c>
      <c r="H71" s="3">
        <v>50</v>
      </c>
      <c r="I71" s="3">
        <f t="shared" ref="I71:I74" si="19">100*(H$70-H71)/H$70</f>
        <v>6.59373505499759</v>
      </c>
      <c r="J71" s="3">
        <v>35</v>
      </c>
      <c r="K71" s="3">
        <f t="shared" si="16"/>
        <v>1.027742</v>
      </c>
      <c r="L71" s="3">
        <v>7.26</v>
      </c>
      <c r="M71" s="3">
        <v>8.731</v>
      </c>
      <c r="N71" s="10">
        <f t="shared" si="9"/>
        <v>0.00307429577464789</v>
      </c>
      <c r="O71" s="3">
        <v>119.5</v>
      </c>
      <c r="P71" s="3">
        <f>M71*E71*26.982/(3*60*(K$70-K71)*96485*D71)</f>
        <v>2.22285860519579e-5</v>
      </c>
    </row>
    <row r="72" spans="1:16">
      <c r="A72" s="2">
        <v>4</v>
      </c>
      <c r="B72" s="2">
        <f t="shared" si="2"/>
        <v>2840</v>
      </c>
      <c r="C72" s="3" t="s">
        <v>18</v>
      </c>
      <c r="D72" s="4">
        <v>14</v>
      </c>
      <c r="E72" s="4">
        <v>10</v>
      </c>
      <c r="F72" s="4">
        <v>4.53</v>
      </c>
      <c r="G72" s="3">
        <v>10.2</v>
      </c>
      <c r="H72" s="3">
        <v>48</v>
      </c>
      <c r="I72" s="3">
        <f t="shared" si="19"/>
        <v>10.3299856527977</v>
      </c>
      <c r="J72" s="3">
        <v>28</v>
      </c>
      <c r="K72" s="3">
        <f t="shared" si="16"/>
        <v>0.760097</v>
      </c>
      <c r="L72" s="3">
        <v>7</v>
      </c>
      <c r="M72" s="3">
        <v>7.691</v>
      </c>
      <c r="N72" s="10">
        <f t="shared" si="9"/>
        <v>0.0027080985915493</v>
      </c>
      <c r="O72" s="3">
        <v>108.8</v>
      </c>
      <c r="P72" s="3">
        <f>M72*E72*26.982/(3*60*(K$70-K72)*96485*D72)</f>
        <v>1.75764754487082e-5</v>
      </c>
    </row>
    <row r="73" spans="1:16">
      <c r="A73" s="2">
        <v>4</v>
      </c>
      <c r="B73" s="2">
        <f t="shared" ref="B73:B74" si="20">A73*710</f>
        <v>2840</v>
      </c>
      <c r="C73" s="3" t="s">
        <v>18</v>
      </c>
      <c r="D73" s="4">
        <v>14</v>
      </c>
      <c r="E73" s="4">
        <v>15</v>
      </c>
      <c r="F73" s="4">
        <v>3.75</v>
      </c>
      <c r="G73" s="3">
        <v>10.2</v>
      </c>
      <c r="H73" s="3">
        <v>47</v>
      </c>
      <c r="I73" s="3">
        <f t="shared" si="19"/>
        <v>12.1981109516977</v>
      </c>
      <c r="J73" s="3">
        <v>12</v>
      </c>
      <c r="K73" s="3">
        <f t="shared" si="16"/>
        <v>0.561275</v>
      </c>
      <c r="L73" s="3">
        <v>6.98</v>
      </c>
      <c r="M73" s="3">
        <v>7.141</v>
      </c>
      <c r="N73" s="10">
        <f t="shared" si="9"/>
        <v>0.00251443661971831</v>
      </c>
      <c r="O73" s="3">
        <v>97.9</v>
      </c>
      <c r="P73" s="3">
        <f>M73*E73*26.982/(3*60*(K$70-K73)*96485*D73)</f>
        <v>1.73680060853559e-5</v>
      </c>
    </row>
    <row r="74" spans="1:16">
      <c r="A74" s="2">
        <v>4</v>
      </c>
      <c r="B74" s="2">
        <f t="shared" si="20"/>
        <v>2840</v>
      </c>
      <c r="C74" s="3" t="s">
        <v>18</v>
      </c>
      <c r="D74" s="4">
        <v>14</v>
      </c>
      <c r="E74" s="4">
        <v>20</v>
      </c>
      <c r="F74" s="4">
        <v>2.91</v>
      </c>
      <c r="G74" s="3">
        <v>10.3</v>
      </c>
      <c r="H74" s="3">
        <f t="shared" si="17"/>
        <v>47.0016</v>
      </c>
      <c r="I74" s="3">
        <f t="shared" si="19"/>
        <v>12.1951219512195</v>
      </c>
      <c r="J74" s="3">
        <v>5</v>
      </c>
      <c r="K74" s="3">
        <f t="shared" si="16"/>
        <v>0.347159</v>
      </c>
      <c r="L74" s="3">
        <v>6.96</v>
      </c>
      <c r="M74" s="3">
        <v>7.006</v>
      </c>
      <c r="N74" s="10">
        <f t="shared" si="9"/>
        <v>0.0024669014084507</v>
      </c>
      <c r="O74" s="3">
        <v>92.9</v>
      </c>
      <c r="P74" s="3">
        <f>M74*E74*26.982/(3*60*(K$70-K74)*96485*D74)</f>
        <v>1.73055325215087e-5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Hareesh balaji</dc:creator>
  <cp:lastModifiedBy>Hannah Shirley</cp:lastModifiedBy>
  <dcterms:created xsi:type="dcterms:W3CDTF">2024-02-03T06:52:00Z</dcterms:created>
  <dcterms:modified xsi:type="dcterms:W3CDTF">2025-09-11T05:52:16Z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38EF1476059C444A80EF7FC5E14951AA_13</vt:lpwstr>
  </property>
  <property fmtid="{D5CDD505-2E9C-101B-9397-08002B2CF9AE}" pid="3" name="KSOProductBuildVer">
    <vt:lpwstr>1033-12.2.0.22530</vt:lpwstr>
  </property>
</Properties>
</file>