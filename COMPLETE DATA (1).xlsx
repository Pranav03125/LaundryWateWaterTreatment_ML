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0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11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za\CHECKED\RS\students project\BANERJEE\paper\graphs\"/>
    </mc:Choice>
  </mc:AlternateContent>
  <bookViews>
    <workbookView xWindow="240" yWindow="60" windowWidth="16605" windowHeight="7950" firstSheet="6" activeTab="11"/>
  </bookViews>
  <sheets>
    <sheet name="Chito-rapid rate" sheetId="10" r:id="rId1"/>
    <sheet name="Chito-slow rate" sheetId="14" r:id="rId2"/>
    <sheet name="Chito-conc, vol " sheetId="11" r:id="rId3"/>
    <sheet name="Chito-rapid time" sheetId="12" r:id="rId4"/>
    <sheet name="Chito-slow time" sheetId="13" r:id="rId5"/>
    <sheet name="poly-DOSE" sheetId="5" r:id="rId6"/>
    <sheet name="poly-pH" sheetId="6" r:id="rId7"/>
    <sheet name="poly- Rapid " sheetId="7" r:id="rId8"/>
    <sheet name="poly-Slow" sheetId="8" r:id="rId9"/>
    <sheet name="poly-review 1" sheetId="9" r:id="rId10"/>
    <sheet name="CONSOLI" sheetId="4" r:id="rId11"/>
    <sheet name="TREATMENT TRAIN" sheetId="1" r:id="rId12"/>
  </sheets>
  <calcPr calcId="152511"/>
</workbook>
</file>

<file path=xl/calcChain.xml><?xml version="1.0" encoding="utf-8"?>
<calcChain xmlns="http://schemas.openxmlformats.org/spreadsheetml/2006/main">
  <c r="Q9" i="8" l="1"/>
  <c r="P9" i="8"/>
  <c r="Q8" i="8"/>
  <c r="P8" i="8"/>
  <c r="H8" i="8"/>
  <c r="G8" i="8"/>
  <c r="Q7" i="8"/>
  <c r="P7" i="8"/>
  <c r="H7" i="8"/>
  <c r="G7" i="8"/>
  <c r="Q6" i="8"/>
  <c r="P6" i="8"/>
  <c r="H6" i="8"/>
  <c r="G6" i="8"/>
  <c r="Q5" i="8"/>
  <c r="P5" i="8"/>
  <c r="H5" i="8"/>
  <c r="G5" i="8"/>
  <c r="Q4" i="8"/>
  <c r="P4" i="8"/>
  <c r="H4" i="8"/>
  <c r="G4" i="8"/>
  <c r="H9" i="7"/>
  <c r="G9" i="7"/>
  <c r="Q8" i="7"/>
  <c r="P8" i="7"/>
  <c r="H8" i="7"/>
  <c r="G8" i="7"/>
  <c r="Q7" i="7"/>
  <c r="P7" i="7"/>
  <c r="H7" i="7"/>
  <c r="G7" i="7"/>
  <c r="Q6" i="7"/>
  <c r="P6" i="7"/>
  <c r="H6" i="7"/>
  <c r="G6" i="7"/>
  <c r="Q5" i="7"/>
  <c r="P5" i="7"/>
  <c r="H5" i="7"/>
  <c r="G5" i="7"/>
  <c r="Q4" i="7"/>
  <c r="P4" i="7"/>
  <c r="H4" i="7"/>
  <c r="G4" i="7"/>
  <c r="G19" i="6"/>
  <c r="F19" i="6"/>
  <c r="G18" i="6"/>
  <c r="F18" i="6"/>
  <c r="G17" i="6"/>
  <c r="F17" i="6"/>
  <c r="G16" i="6"/>
  <c r="F16" i="6"/>
  <c r="G15" i="6"/>
  <c r="F15" i="6"/>
  <c r="G14" i="6"/>
  <c r="F14" i="6"/>
  <c r="G13" i="6"/>
  <c r="F13" i="6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G41" i="1"/>
  <c r="G42" i="1"/>
  <c r="G43" i="1"/>
  <c r="G40" i="1"/>
  <c r="F41" i="1"/>
  <c r="F42" i="1"/>
  <c r="F43" i="1"/>
  <c r="F40" i="1"/>
  <c r="E41" i="1"/>
  <c r="E42" i="1"/>
  <c r="E43" i="1"/>
  <c r="E40" i="1"/>
  <c r="G31" i="1"/>
  <c r="G32" i="1"/>
  <c r="G33" i="1"/>
  <c r="G30" i="1"/>
  <c r="F30" i="1"/>
  <c r="F31" i="1"/>
  <c r="F32" i="1"/>
  <c r="F33" i="1"/>
  <c r="E30" i="1"/>
  <c r="E31" i="1"/>
  <c r="E32" i="1"/>
  <c r="E33" i="1"/>
</calcChain>
</file>

<file path=xl/sharedStrings.xml><?xml version="1.0" encoding="utf-8"?>
<sst xmlns="http://schemas.openxmlformats.org/spreadsheetml/2006/main" count="220" uniqueCount="87">
  <si>
    <t xml:space="preserve">GRAVEL-COARSE-FINE SAND </t>
  </si>
  <si>
    <t>FINE SAND-COARSE-GRAVEL</t>
  </si>
  <si>
    <t>Turbidity (NTU)</t>
  </si>
  <si>
    <t>COAGULATION + SAND FILTRATION</t>
  </si>
  <si>
    <t>COAGULANT : CHITOSAN</t>
  </si>
  <si>
    <t>Time (min)</t>
  </si>
  <si>
    <t>RAW</t>
  </si>
  <si>
    <t>Colour removal (%)</t>
  </si>
  <si>
    <t>Turbidity removal (%)</t>
  </si>
  <si>
    <t>COAGULATION</t>
  </si>
  <si>
    <t>SAND FILTRATION</t>
  </si>
  <si>
    <t>ADSORPTION</t>
  </si>
  <si>
    <t>ULTRA FILTRATION</t>
  </si>
  <si>
    <t>Colour (nm)</t>
  </si>
  <si>
    <t>COAGULATION + SAND FILTRATION + ADSORPTION + ULTRA FILTRATION</t>
  </si>
  <si>
    <t>Salinity removal efficiency (%)</t>
  </si>
  <si>
    <t>Colour removal efficiency(%)</t>
  </si>
  <si>
    <t>Turbidity removal efficiency(%)</t>
  </si>
  <si>
    <t>Salinity (ppm)</t>
  </si>
  <si>
    <t>pH</t>
  </si>
  <si>
    <t>Salinity (ppt)</t>
  </si>
  <si>
    <t>TDS (ppm)</t>
  </si>
  <si>
    <t>DO (ppm)</t>
  </si>
  <si>
    <t>Nitrate (ppm)</t>
  </si>
  <si>
    <t>COAGULANT : POLYAMINE</t>
  </si>
  <si>
    <t>Desirable limit (Max.)</t>
  </si>
  <si>
    <t>Permissible limit (Max.)</t>
  </si>
  <si>
    <t>5 Hazen units</t>
  </si>
  <si>
    <t>25 Hazen units</t>
  </si>
  <si>
    <t>6.5-8.5</t>
  </si>
  <si>
    <t>No relaxation</t>
  </si>
  <si>
    <t>500-2000</t>
  </si>
  <si>
    <t>max. 45</t>
  </si>
  <si>
    <t xml:space="preserve">80-500 </t>
  </si>
  <si>
    <t>7 to 10</t>
  </si>
  <si>
    <t>5 to10</t>
  </si>
  <si>
    <t>Colour removal efficiency  (%)</t>
  </si>
  <si>
    <t>POLYAMINE</t>
  </si>
  <si>
    <t>CHITOSAN</t>
  </si>
  <si>
    <t>DRINKING WATER STANDARD</t>
  </si>
  <si>
    <t>C-1</t>
  </si>
  <si>
    <t>C-2</t>
  </si>
  <si>
    <t>Coagulant used: AMEZTREAT 102 POLYAMINE</t>
  </si>
  <si>
    <t>OPTIMIZATION RESULTS: 40 ml coagulant in 500 ml waste water</t>
  </si>
  <si>
    <t>Jar no.</t>
  </si>
  <si>
    <t>Coagulant vol.</t>
  </si>
  <si>
    <t>Colour(Absorbance)</t>
  </si>
  <si>
    <t>Nitrate conc.(ppm)</t>
  </si>
  <si>
    <t>Iron conc.(ppm)</t>
  </si>
  <si>
    <t>DO(ppm)</t>
  </si>
  <si>
    <t>Salinity(PPT)</t>
  </si>
  <si>
    <t>TDS(ppt)</t>
  </si>
  <si>
    <t>Raw</t>
  </si>
  <si>
    <t>Treated</t>
  </si>
  <si>
    <t>Initial pH</t>
  </si>
  <si>
    <t>TDS (ppt)</t>
  </si>
  <si>
    <t>Absorbance (nm)</t>
  </si>
  <si>
    <t>Turbidity(NTU)</t>
  </si>
  <si>
    <t>Effect of rapid mixing speed</t>
  </si>
  <si>
    <t>Effect of rapid mixing time</t>
  </si>
  <si>
    <t>Rapid mixing rate (rpm)</t>
  </si>
  <si>
    <t>Rapid mixing time (min)</t>
  </si>
  <si>
    <t>Absorbance at 345 nm</t>
  </si>
  <si>
    <t>SETTLING TIME = 2h 45 mins</t>
  </si>
  <si>
    <t>Effect of slow mixing speed</t>
  </si>
  <si>
    <t>Effect of slow mixing time</t>
  </si>
  <si>
    <t>WW</t>
  </si>
  <si>
    <t>500mL</t>
  </si>
  <si>
    <t>coagulant</t>
  </si>
  <si>
    <t>40mL</t>
  </si>
  <si>
    <t>actual</t>
  </si>
  <si>
    <t>rapid</t>
  </si>
  <si>
    <t>300rpm</t>
  </si>
  <si>
    <t>10min</t>
  </si>
  <si>
    <t xml:space="preserve">slow                                          </t>
  </si>
  <si>
    <t>20rpm</t>
  </si>
  <si>
    <t>20min</t>
  </si>
  <si>
    <t>Coagulant volume (mL)</t>
  </si>
  <si>
    <t>1000ppm</t>
  </si>
  <si>
    <t>800ppm</t>
  </si>
  <si>
    <t>600ppm</t>
  </si>
  <si>
    <t>400ppm</t>
  </si>
  <si>
    <t>200ppm</t>
  </si>
  <si>
    <t>Turbidity removal</t>
  </si>
  <si>
    <t>Colour removal</t>
  </si>
  <si>
    <t>Slow mixing time (min)</t>
  </si>
  <si>
    <t>Slow mixing rate (rpm)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</si>
</sst>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9"/>
      <color theme="1"/>
      <name val="Cambria"/>
      <family val="1"/>
      <scheme val="major"/>
    </font>
    <font>
      <sz val="9"/>
      <color theme="1"/>
      <name val="Cambria"/>
      <family val="1"/>
      <scheme val="maj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0" fillId="0" borderId="1" xfId="0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/>
    <xf numFmtId="0" fontId="3" fillId="3" borderId="0" xfId="0" applyFont="1" applyFill="1"/>
    <xf numFmtId="0" fontId="3" fillId="0" borderId="0" xfId="0" applyFont="1" applyAlignment="1">
      <alignment wrapText="1"/>
    </xf>
    <xf numFmtId="0" fontId="2" fillId="0" borderId="0" xfId="0" applyFont="1"/>
    <xf numFmtId="0" fontId="3" fillId="0" borderId="0" xfId="0" applyFont="1" applyFill="1"/>
    <xf numFmtId="0" fontId="3" fillId="2" borderId="1" xfId="0" applyFont="1" applyFill="1" applyBorder="1" applyAlignment="1">
      <alignment horizontal="center"/>
    </xf>
    <xf numFmtId="0" fontId="2" fillId="3" borderId="0" xfId="0" applyFont="1" applyFill="1"/>
    <xf numFmtId="164" fontId="3" fillId="0" borderId="1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/>
    </xf>
    <xf numFmtId="164" fontId="3" fillId="0" borderId="0" xfId="0" applyNumberFormat="1" applyFont="1" applyFill="1" applyBorder="1" applyAlignment="1">
      <alignment horizontal="center"/>
    </xf>
    <xf numFmtId="16" fontId="3" fillId="0" borderId="0" xfId="0" applyNumberFormat="1" applyFont="1" applyFill="1" applyBorder="1" applyAlignment="1">
      <alignment horizontal="center"/>
    </xf>
    <xf numFmtId="16" fontId="3" fillId="0" borderId="1" xfId="0" applyNumberFormat="1" applyFont="1" applyFill="1" applyBorder="1" applyAlignment="1">
      <alignment horizontal="center"/>
    </xf>
    <xf numFmtId="0" fontId="3" fillId="0" borderId="1" xfId="0" applyFont="1" applyBorder="1"/>
    <xf numFmtId="1" fontId="3" fillId="0" borderId="1" xfId="0" applyNumberFormat="1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/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Fill="1" applyBorder="1" applyAlignment="1">
      <alignment horizontal="left"/>
    </xf>
    <xf numFmtId="0" fontId="5" fillId="0" borderId="1" xfId="0" applyFont="1" applyBorder="1"/>
    <xf numFmtId="0" fontId="8" fillId="0" borderId="0" xfId="0" applyFont="1" applyAlignment="1">
      <alignment horizontal="left"/>
    </xf>
    <xf numFmtId="0" fontId="8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  <xf numFmtId="2" fontId="8" fillId="0" borderId="1" xfId="0" applyNumberFormat="1" applyFont="1" applyBorder="1" applyAlignment="1">
      <alignment horizontal="left"/>
    </xf>
    <xf numFmtId="0" fontId="8" fillId="4" borderId="1" xfId="0" applyFont="1" applyFill="1" applyBorder="1" applyAlignment="1">
      <alignment horizontal="left"/>
    </xf>
    <xf numFmtId="2" fontId="8" fillId="4" borderId="1" xfId="0" applyNumberFormat="1" applyFont="1" applyFill="1" applyBorder="1" applyAlignment="1">
      <alignment horizontal="left"/>
    </xf>
    <xf numFmtId="0" fontId="7" fillId="3" borderId="8" xfId="0" applyFont="1" applyFill="1" applyBorder="1" applyAlignment="1">
      <alignment horizontal="center"/>
    </xf>
    <xf numFmtId="0" fontId="7" fillId="0" borderId="0" xfId="0" applyFont="1"/>
    <xf numFmtId="0" fontId="1" fillId="0" borderId="1" xfId="0" applyFont="1" applyBorder="1" applyAlignment="1">
      <alignment horizontal="left"/>
    </xf>
    <xf numFmtId="0" fontId="7" fillId="3" borderId="10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7" fillId="4" borderId="10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7" fillId="3" borderId="9" xfId="0" applyFont="1" applyFill="1" applyBorder="1" applyAlignment="1">
      <alignment horizontal="center"/>
    </xf>
    <xf numFmtId="2" fontId="0" fillId="0" borderId="1" xfId="0" applyNumberFormat="1" applyBorder="1" applyAlignment="1">
      <alignment horizontal="left"/>
    </xf>
    <xf numFmtId="2" fontId="0" fillId="4" borderId="1" xfId="0" applyNumberFormat="1" applyFill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2" fontId="0" fillId="0" borderId="1" xfId="0" applyNumberFormat="1" applyBorder="1"/>
    <xf numFmtId="0" fontId="8" fillId="0" borderId="0" xfId="0" applyFont="1" applyBorder="1" applyAlignment="1">
      <alignment horizontal="left"/>
    </xf>
    <xf numFmtId="2" fontId="0" fillId="0" borderId="0" xfId="0" applyNumberFormat="1" applyBorder="1"/>
    <xf numFmtId="0" fontId="8" fillId="0" borderId="0" xfId="0" applyFont="1"/>
    <xf numFmtId="164" fontId="8" fillId="0" borderId="1" xfId="0" applyNumberFormat="1" applyFont="1" applyBorder="1" applyAlignment="1"/>
    <xf numFmtId="0" fontId="9" fillId="0" borderId="0" xfId="0" applyFont="1"/>
    <xf numFmtId="0" fontId="0" fillId="3" borderId="0" xfId="0" applyFill="1"/>
    <xf numFmtId="0" fontId="0" fillId="0" borderId="0" xfId="0" applyAlignment="1"/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4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93228346456693"/>
          <c:y val="5.2419072615923032E-2"/>
          <c:w val="0.79655423304645068"/>
          <c:h val="0.79479549431321228"/>
        </c:manualLayout>
      </c:layout>
      <c:lineChart>
        <c:grouping val="standard"/>
        <c:varyColors val="0"/>
        <c:ser>
          <c:idx val="1"/>
          <c:order val="0"/>
          <c:tx>
            <c:strRef>
              <c:f>'Chito-rapid rate'!$B$1</c:f>
              <c:strCache>
                <c:ptCount val="1"/>
                <c:pt idx="0">
                  <c:v>Colour removal (%)</c:v>
                </c:pt>
              </c:strCache>
            </c:strRef>
          </c:tx>
          <c:spPr>
            <a:ln w="0">
              <a:solidFill>
                <a:sysClr val="windowText" lastClr="000000"/>
              </a:solidFill>
            </a:ln>
          </c:spPr>
          <c:marker>
            <c:symbol val="triangle"/>
            <c:size val="5"/>
            <c:spPr>
              <a:solidFill>
                <a:schemeClr val="tx1"/>
              </a:solidFill>
              <a:ln w="0">
                <a:solidFill>
                  <a:schemeClr val="tx1"/>
                </a:solidFill>
              </a:ln>
            </c:spPr>
          </c:marker>
          <c:cat>
            <c:numRef>
              <c:f>'Chito-rapid rate'!$A$2:$A$7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</c:numCache>
            </c:numRef>
          </c:cat>
          <c:val>
            <c:numRef>
              <c:f>'Chito-rapid rate'!$B$2:$B$7</c:f>
              <c:numCache>
                <c:formatCode>General</c:formatCode>
                <c:ptCount val="6"/>
                <c:pt idx="0">
                  <c:v>77.78</c:v>
                </c:pt>
                <c:pt idx="1">
                  <c:v>83.61</c:v>
                </c:pt>
                <c:pt idx="2">
                  <c:v>78.31</c:v>
                </c:pt>
                <c:pt idx="3">
                  <c:v>83.81</c:v>
                </c:pt>
                <c:pt idx="4">
                  <c:v>81.78</c:v>
                </c:pt>
                <c:pt idx="5">
                  <c:v>84.27</c:v>
                </c:pt>
              </c:numCache>
            </c:numRef>
          </c:val>
          <c:smooth val="1"/>
        </c:ser>
        <c:ser>
          <c:idx val="2"/>
          <c:order val="1"/>
          <c:tx>
            <c:strRef>
              <c:f>'Chito-rapid rate'!$C$1</c:f>
              <c:strCache>
                <c:ptCount val="1"/>
                <c:pt idx="0">
                  <c:v>Turbidity removal (%)</c:v>
                </c:pt>
              </c:strCache>
            </c:strRef>
          </c:tx>
          <c:spPr>
            <a:ln w="0">
              <a:solidFill>
                <a:schemeClr val="tx1"/>
              </a:solidFill>
            </a:ln>
          </c:spPr>
          <c:marker>
            <c:symbol val="circle"/>
            <c:size val="7"/>
            <c:spPr>
              <a:solidFill>
                <a:sysClr val="windowText" lastClr="000000"/>
              </a:solidFill>
              <a:ln w="0" cmpd="sng">
                <a:solidFill>
                  <a:sysClr val="windowText" lastClr="000000"/>
                </a:solidFill>
              </a:ln>
            </c:spPr>
          </c:marker>
          <c:cat>
            <c:numRef>
              <c:f>'Chito-rapid rate'!$A$2:$A$7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</c:numCache>
            </c:numRef>
          </c:cat>
          <c:val>
            <c:numRef>
              <c:f>'Chito-rapid rate'!$C$2:$C$7</c:f>
              <c:numCache>
                <c:formatCode>General</c:formatCode>
                <c:ptCount val="6"/>
                <c:pt idx="0">
                  <c:v>91.7</c:v>
                </c:pt>
                <c:pt idx="1">
                  <c:v>89.62</c:v>
                </c:pt>
                <c:pt idx="2">
                  <c:v>75.930000000000007</c:v>
                </c:pt>
                <c:pt idx="3">
                  <c:v>90.66</c:v>
                </c:pt>
                <c:pt idx="4">
                  <c:v>82.36</c:v>
                </c:pt>
                <c:pt idx="5">
                  <c:v>92.11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905520"/>
        <c:axId val="325267376"/>
      </c:lineChart>
      <c:catAx>
        <c:axId val="32290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IN"/>
                </a:pPr>
                <a:r>
                  <a:rPr lang="en-IN" sz="1100" baseline="0">
                    <a:latin typeface="Times New Roman" pitchFamily="18" charset="0"/>
                  </a:rPr>
                  <a:t>Rapid mixing rate (rpm)</a:t>
                </a:r>
              </a:p>
            </c:rich>
          </c:tx>
          <c:layout>
            <c:manualLayout>
              <c:xMode val="edge"/>
              <c:yMode val="edge"/>
              <c:x val="0.34284299077999936"/>
              <c:y val="0.9311549422658813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IN" sz="1100" baseline="0">
                <a:latin typeface="Times New Roman" pitchFamily="18" charset="0"/>
              </a:defRPr>
            </a:pPr>
            <a:endParaRPr lang="en-US"/>
          </a:p>
        </c:txPr>
        <c:crossAx val="325267376"/>
        <c:crosses val="autoZero"/>
        <c:auto val="1"/>
        <c:lblAlgn val="ctr"/>
        <c:lblOffset val="100"/>
        <c:noMultiLvlLbl val="0"/>
      </c:catAx>
      <c:valAx>
        <c:axId val="325267376"/>
        <c:scaling>
          <c:orientation val="minMax"/>
          <c:max val="100"/>
          <c:min val="5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en-IN"/>
                </a:pPr>
                <a:r>
                  <a:rPr lang="en-IN" sz="1100" baseline="0">
                    <a:latin typeface="Times New Roman" pitchFamily="18" charset="0"/>
                  </a:rPr>
                  <a:t>Removal Efficiency (%)</a:t>
                </a:r>
              </a:p>
            </c:rich>
          </c:tx>
          <c:overlay val="0"/>
        </c:title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lang="en-IN" sz="1100">
                <a:latin typeface="Times New Roman" pitchFamily="18" charset="0"/>
                <a:cs typeface="Times New Roman" pitchFamily="18" charset="0"/>
              </a:defRPr>
            </a:pPr>
            <a:endParaRPr lang="en-US"/>
          </a:p>
        </c:txPr>
        <c:crossAx val="322905520"/>
        <c:crosses val="autoZero"/>
        <c:crossBetween val="between"/>
      </c:valAx>
      <c:spPr>
        <a:noFill/>
        <a:ln w="0">
          <a:solidFill>
            <a:sysClr val="windowText" lastClr="000000"/>
          </a:solidFill>
        </a:ln>
      </c:spPr>
    </c:plotArea>
    <c:legend>
      <c:legendPos val="r"/>
      <c:legendEntry>
        <c:idx val="0"/>
        <c:txPr>
          <a:bodyPr/>
          <a:lstStyle/>
          <a:p>
            <a:pPr>
              <a:defRPr sz="1100" baseline="0">
                <a:latin typeface="Times New Roman" pitchFamily="18" charset="0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100" baseline="0">
                <a:latin typeface="Times New Roman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49564412140790098"/>
          <c:y val="0.60334745285552305"/>
          <c:w val="0.44957264957265036"/>
          <c:h val="0.18021153296432046"/>
        </c:manualLayout>
      </c:layout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866323580222251"/>
          <c:y val="7.1198450630863719E-2"/>
          <c:w val="0.77831329975208052"/>
          <c:h val="0.76487901930464053"/>
        </c:manualLayout>
      </c:layout>
      <c:lineChart>
        <c:grouping val="standard"/>
        <c:varyColors val="0"/>
        <c:ser>
          <c:idx val="1"/>
          <c:order val="0"/>
          <c:tx>
            <c:strRef>
              <c:f>'Chito-slow rate'!$B$1</c:f>
              <c:strCache>
                <c:ptCount val="1"/>
                <c:pt idx="0">
                  <c:v>Colour removal (%)</c:v>
                </c:pt>
              </c:strCache>
            </c:strRef>
          </c:tx>
          <c:spPr>
            <a:ln w="0">
              <a:solidFill>
                <a:sysClr val="windowText" lastClr="000000"/>
              </a:solidFill>
            </a:ln>
          </c:spPr>
          <c:marker>
            <c:symbol val="triangle"/>
            <c:size val="5"/>
            <c:spPr>
              <a:solidFill>
                <a:sysClr val="windowText" lastClr="000000"/>
              </a:solidFill>
              <a:ln w="0">
                <a:solidFill>
                  <a:sysClr val="windowText" lastClr="000000"/>
                </a:solidFill>
              </a:ln>
            </c:spPr>
          </c:marker>
          <c:cat>
            <c:numRef>
              <c:f>'Chito-slow rate'!$A$2:$A$5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'Chito-slow rate'!$B$2:$B$5</c:f>
              <c:numCache>
                <c:formatCode>General</c:formatCode>
                <c:ptCount val="4"/>
                <c:pt idx="0">
                  <c:v>89.04</c:v>
                </c:pt>
                <c:pt idx="1">
                  <c:v>92.53</c:v>
                </c:pt>
                <c:pt idx="2">
                  <c:v>93.26</c:v>
                </c:pt>
                <c:pt idx="3">
                  <c:v>85.57</c:v>
                </c:pt>
              </c:numCache>
            </c:numRef>
          </c:val>
          <c:smooth val="1"/>
        </c:ser>
        <c:ser>
          <c:idx val="2"/>
          <c:order val="1"/>
          <c:tx>
            <c:strRef>
              <c:f>'Chito-slow rate'!$C$1</c:f>
              <c:strCache>
                <c:ptCount val="1"/>
                <c:pt idx="0">
                  <c:v>Turbidity removal (%)</c:v>
                </c:pt>
              </c:strCache>
            </c:strRef>
          </c:tx>
          <c:spPr>
            <a:ln w="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ysClr val="windowText" lastClr="000000"/>
              </a:solidFill>
              <a:ln w="0">
                <a:solidFill>
                  <a:sysClr val="windowText" lastClr="000000"/>
                </a:solidFill>
              </a:ln>
            </c:spPr>
          </c:marker>
          <c:cat>
            <c:numRef>
              <c:f>'Chito-slow rate'!$A$2:$A$5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'Chito-slow rate'!$C$2:$C$5</c:f>
              <c:numCache>
                <c:formatCode>General</c:formatCode>
                <c:ptCount val="4"/>
                <c:pt idx="0">
                  <c:v>89.62</c:v>
                </c:pt>
                <c:pt idx="1">
                  <c:v>96.68</c:v>
                </c:pt>
                <c:pt idx="2">
                  <c:v>97.09</c:v>
                </c:pt>
                <c:pt idx="3">
                  <c:v>83.81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782792"/>
        <c:axId val="262889960"/>
      </c:lineChart>
      <c:catAx>
        <c:axId val="325782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IN"/>
                </a:pPr>
                <a:r>
                  <a:rPr lang="en-IN" sz="1100" baseline="0">
                    <a:latin typeface="Times New Roman" pitchFamily="18" charset="0"/>
                  </a:rPr>
                  <a:t>Slow mixing rate (rpm)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IN" sz="1100">
                <a:latin typeface="Times New Roman" pitchFamily="18" charset="0"/>
                <a:cs typeface="Times New Roman" pitchFamily="18" charset="0"/>
              </a:defRPr>
            </a:pPr>
            <a:endParaRPr lang="en-US"/>
          </a:p>
        </c:txPr>
        <c:crossAx val="262889960"/>
        <c:crosses val="autoZero"/>
        <c:auto val="1"/>
        <c:lblAlgn val="ctr"/>
        <c:lblOffset val="100"/>
        <c:noMultiLvlLbl val="0"/>
      </c:catAx>
      <c:valAx>
        <c:axId val="26288996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en-IN"/>
                </a:pPr>
                <a:r>
                  <a:rPr lang="en-IN" sz="1100" baseline="0">
                    <a:latin typeface="Times New Roman" pitchFamily="18" charset="0"/>
                  </a:rPr>
                  <a:t>Removal Efficiency (%)</a:t>
                </a:r>
              </a:p>
            </c:rich>
          </c:tx>
          <c:overlay val="0"/>
        </c:title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lang="en-IN" sz="1100">
                <a:latin typeface="Times New Roman" pitchFamily="18" charset="0"/>
                <a:cs typeface="Times New Roman" pitchFamily="18" charset="0"/>
              </a:defRPr>
            </a:pPr>
            <a:endParaRPr lang="en-US"/>
          </a:p>
        </c:txPr>
        <c:crossAx val="325782792"/>
        <c:crosses val="autoZero"/>
        <c:crossBetween val="between"/>
      </c:valAx>
      <c:spPr>
        <a:ln w="0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41781940075042645"/>
          <c:y val="0.58279527559055222"/>
          <c:w val="0.39600540694537939"/>
          <c:h val="0.14459463400408284"/>
        </c:manualLayout>
      </c:layout>
      <c:overlay val="0"/>
      <c:txPr>
        <a:bodyPr/>
        <a:lstStyle/>
        <a:p>
          <a:pPr>
            <a:defRPr lang="en-IN" sz="1100" baseline="0">
              <a:latin typeface="Times New Roman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2384076990375"/>
          <c:y val="6.528944298629337E-2"/>
          <c:w val="0.84907414698162731"/>
          <c:h val="0.7472991396908732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'Chito-conc, vol '!$B$2</c:f>
              <c:strCache>
                <c:ptCount val="1"/>
                <c:pt idx="0">
                  <c:v>200ppm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diamond"/>
            <c:size val="5"/>
            <c:spPr>
              <a:solidFill>
                <a:sysClr val="windowText" lastClr="000000"/>
              </a:solidFill>
              <a:ln w="12700">
                <a:solidFill>
                  <a:sysClr val="windowText" lastClr="000000"/>
                </a:solidFill>
              </a:ln>
            </c:spPr>
          </c:marker>
          <c:xVal>
            <c:numRef>
              <c:f>'Chito-conc, vol '!$A$3:$A$6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250</c:v>
                </c:pt>
              </c:numCache>
            </c:numRef>
          </c:xVal>
          <c:yVal>
            <c:numRef>
              <c:f>'Chito-conc, vol '!$B$3:$B$6</c:f>
              <c:numCache>
                <c:formatCode>General</c:formatCode>
                <c:ptCount val="4"/>
                <c:pt idx="0">
                  <c:v>50.23</c:v>
                </c:pt>
                <c:pt idx="1">
                  <c:v>88.19</c:v>
                </c:pt>
                <c:pt idx="2">
                  <c:v>84.71</c:v>
                </c:pt>
                <c:pt idx="3">
                  <c:v>73.540000000000006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'Chito-conc, vol '!$C$2</c:f>
              <c:strCache>
                <c:ptCount val="1"/>
                <c:pt idx="0">
                  <c:v>400ppm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square"/>
            <c:size val="5"/>
            <c:spPr>
              <a:solidFill>
                <a:schemeClr val="tx1"/>
              </a:solidFill>
              <a:ln w="12700">
                <a:solidFill>
                  <a:sysClr val="windowText" lastClr="000000"/>
                </a:solidFill>
              </a:ln>
            </c:spPr>
          </c:marker>
          <c:xVal>
            <c:numRef>
              <c:f>'Chito-conc, vol '!$A$3:$A$6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250</c:v>
                </c:pt>
              </c:numCache>
            </c:numRef>
          </c:xVal>
          <c:yVal>
            <c:numRef>
              <c:f>'Chito-conc, vol '!$C$3:$C$6</c:f>
              <c:numCache>
                <c:formatCode>General</c:formatCode>
                <c:ptCount val="4"/>
                <c:pt idx="0">
                  <c:v>87.56</c:v>
                </c:pt>
                <c:pt idx="1">
                  <c:v>95.33</c:v>
                </c:pt>
                <c:pt idx="2">
                  <c:v>94.24</c:v>
                </c:pt>
                <c:pt idx="3">
                  <c:v>88.28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'Chito-conc, vol '!$D$2</c:f>
              <c:strCache>
                <c:ptCount val="1"/>
                <c:pt idx="0">
                  <c:v>600ppm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triangle"/>
            <c:size val="5"/>
            <c:spPr>
              <a:solidFill>
                <a:sysClr val="windowText" lastClr="000000"/>
              </a:solidFill>
              <a:ln w="12700">
                <a:solidFill>
                  <a:sysClr val="windowText" lastClr="000000"/>
                </a:solidFill>
              </a:ln>
            </c:spPr>
          </c:marker>
          <c:xVal>
            <c:numRef>
              <c:f>'Chito-conc, vol '!$A$3:$A$6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250</c:v>
                </c:pt>
              </c:numCache>
            </c:numRef>
          </c:xVal>
          <c:yVal>
            <c:numRef>
              <c:f>'Chito-conc, vol '!$D$3:$D$6</c:f>
              <c:numCache>
                <c:formatCode>General</c:formatCode>
                <c:ptCount val="4"/>
                <c:pt idx="0">
                  <c:v>73.12</c:v>
                </c:pt>
                <c:pt idx="1">
                  <c:v>87.48</c:v>
                </c:pt>
                <c:pt idx="2">
                  <c:v>91.39</c:v>
                </c:pt>
                <c:pt idx="3">
                  <c:v>91.43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'Chito-conc, vol '!$E$2</c:f>
              <c:strCache>
                <c:ptCount val="1"/>
                <c:pt idx="0">
                  <c:v>800ppm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x"/>
            <c:size val="5"/>
            <c:spPr>
              <a:noFill/>
              <a:ln w="12700">
                <a:solidFill>
                  <a:sysClr val="windowText" lastClr="000000"/>
                </a:solidFill>
              </a:ln>
            </c:spPr>
          </c:marker>
          <c:xVal>
            <c:numRef>
              <c:f>'Chito-conc, vol '!$A$3:$A$6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250</c:v>
                </c:pt>
              </c:numCache>
            </c:numRef>
          </c:xVal>
          <c:yVal>
            <c:numRef>
              <c:f>'Chito-conc, vol '!$E$3:$E$6</c:f>
              <c:numCache>
                <c:formatCode>General</c:formatCode>
                <c:ptCount val="4"/>
                <c:pt idx="0">
                  <c:v>78.37</c:v>
                </c:pt>
                <c:pt idx="1">
                  <c:v>88.45</c:v>
                </c:pt>
                <c:pt idx="2">
                  <c:v>91.26</c:v>
                </c:pt>
                <c:pt idx="3">
                  <c:v>91.43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'Chito-conc, vol '!$F$2</c:f>
              <c:strCache>
                <c:ptCount val="1"/>
                <c:pt idx="0">
                  <c:v>1000ppm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 w="12700">
                <a:solidFill>
                  <a:sysClr val="windowText" lastClr="000000"/>
                </a:solidFill>
              </a:ln>
            </c:spPr>
          </c:marker>
          <c:xVal>
            <c:numRef>
              <c:f>'Chito-conc, vol '!$A$3:$A$6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250</c:v>
                </c:pt>
              </c:numCache>
            </c:numRef>
          </c:xVal>
          <c:yVal>
            <c:numRef>
              <c:f>'Chito-conc, vol '!$F$3:$F$6</c:f>
              <c:numCache>
                <c:formatCode>General</c:formatCode>
                <c:ptCount val="4"/>
                <c:pt idx="0">
                  <c:v>73.16</c:v>
                </c:pt>
                <c:pt idx="1">
                  <c:v>77.400000000000006</c:v>
                </c:pt>
                <c:pt idx="2">
                  <c:v>88.45</c:v>
                </c:pt>
                <c:pt idx="3">
                  <c:v>90.98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2886824"/>
        <c:axId val="262890744"/>
      </c:scatterChart>
      <c:valAx>
        <c:axId val="262886824"/>
        <c:scaling>
          <c:orientation val="minMax"/>
          <c:max val="2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Chitosan volume (mL)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2890744"/>
        <c:crosses val="autoZero"/>
        <c:crossBetween val="midCat"/>
        <c:majorUnit val="50"/>
      </c:valAx>
      <c:valAx>
        <c:axId val="262890744"/>
        <c:scaling>
          <c:orientation val="minMax"/>
          <c:max val="100"/>
          <c:min val="4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Colour</a:t>
                </a:r>
                <a:r>
                  <a:rPr lang="en-US" baseline="0"/>
                  <a:t> r</a:t>
                </a:r>
                <a:r>
                  <a:rPr lang="en-US"/>
                  <a:t>emoval efficiency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2886824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395000000000006"/>
          <c:y val="0.53144757946923249"/>
          <c:w val="0.20772222222222236"/>
          <c:h val="0.25842993584135332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8571741032371027E-2"/>
          <c:y val="5.1400554097404488E-2"/>
          <c:w val="0.87068525809273911"/>
          <c:h val="0.7750769174686502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'Chito-conc, vol '!$B$10</c:f>
              <c:strCache>
                <c:ptCount val="1"/>
                <c:pt idx="0">
                  <c:v>200ppm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diamond"/>
            <c:size val="5"/>
            <c:spPr>
              <a:solidFill>
                <a:sysClr val="windowText" lastClr="000000"/>
              </a:solidFill>
              <a:ln w="12700">
                <a:solidFill>
                  <a:sysClr val="windowText" lastClr="000000"/>
                </a:solidFill>
              </a:ln>
            </c:spPr>
          </c:marker>
          <c:xVal>
            <c:numRef>
              <c:f>'Chito-conc, vol '!$A$11:$A$14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250</c:v>
                </c:pt>
              </c:numCache>
            </c:numRef>
          </c:xVal>
          <c:yVal>
            <c:numRef>
              <c:f>'Chito-conc, vol '!$B$11:$B$14</c:f>
              <c:numCache>
                <c:formatCode>General</c:formatCode>
                <c:ptCount val="4"/>
                <c:pt idx="0">
                  <c:v>10.24</c:v>
                </c:pt>
                <c:pt idx="1">
                  <c:v>80.239999999999995</c:v>
                </c:pt>
                <c:pt idx="2">
                  <c:v>63.17</c:v>
                </c:pt>
                <c:pt idx="3">
                  <c:v>21.95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'Chito-conc, vol '!$C$10</c:f>
              <c:strCache>
                <c:ptCount val="1"/>
                <c:pt idx="0">
                  <c:v>400ppm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square"/>
            <c:size val="5"/>
            <c:spPr>
              <a:solidFill>
                <a:sysClr val="windowText" lastClr="000000"/>
              </a:solidFill>
              <a:ln w="12700">
                <a:solidFill>
                  <a:sysClr val="windowText" lastClr="000000"/>
                </a:solidFill>
              </a:ln>
            </c:spPr>
          </c:marker>
          <c:xVal>
            <c:numRef>
              <c:f>'Chito-conc, vol '!$A$11:$A$14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250</c:v>
                </c:pt>
              </c:numCache>
            </c:numRef>
          </c:xVal>
          <c:yVal>
            <c:numRef>
              <c:f>'Chito-conc, vol '!$C$11:$C$14</c:f>
              <c:numCache>
                <c:formatCode>General</c:formatCode>
                <c:ptCount val="4"/>
                <c:pt idx="0">
                  <c:v>70.239999999999995</c:v>
                </c:pt>
                <c:pt idx="1">
                  <c:v>92.92</c:v>
                </c:pt>
                <c:pt idx="2">
                  <c:v>93.9</c:v>
                </c:pt>
                <c:pt idx="3">
                  <c:v>67.8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'Chito-conc, vol '!$D$10</c:f>
              <c:strCache>
                <c:ptCount val="1"/>
                <c:pt idx="0">
                  <c:v>600ppm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triangle"/>
            <c:size val="5"/>
            <c:spPr>
              <a:solidFill>
                <a:sysClr val="windowText" lastClr="000000"/>
              </a:solidFill>
              <a:ln w="12700">
                <a:solidFill>
                  <a:sysClr val="windowText" lastClr="000000"/>
                </a:solidFill>
              </a:ln>
            </c:spPr>
          </c:marker>
          <c:xVal>
            <c:numRef>
              <c:f>'Chito-conc, vol '!$A$11:$A$14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250</c:v>
                </c:pt>
              </c:numCache>
            </c:numRef>
          </c:xVal>
          <c:yVal>
            <c:numRef>
              <c:f>'Chito-conc, vol '!$D$11:$D$14</c:f>
              <c:numCache>
                <c:formatCode>General</c:formatCode>
                <c:ptCount val="4"/>
                <c:pt idx="0">
                  <c:v>38.29</c:v>
                </c:pt>
                <c:pt idx="1">
                  <c:v>77.8</c:v>
                </c:pt>
                <c:pt idx="2">
                  <c:v>95.12</c:v>
                </c:pt>
                <c:pt idx="3">
                  <c:v>93.9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'Chito-conc, vol '!$E$10</c:f>
              <c:strCache>
                <c:ptCount val="1"/>
                <c:pt idx="0">
                  <c:v>800ppm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ysClr val="windowText" lastClr="000000"/>
              </a:solidFill>
              <a:ln w="12700">
                <a:solidFill>
                  <a:sysClr val="windowText" lastClr="000000"/>
                </a:solidFill>
              </a:ln>
            </c:spPr>
          </c:marker>
          <c:xVal>
            <c:numRef>
              <c:f>'Chito-conc, vol '!$A$11:$A$14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250</c:v>
                </c:pt>
              </c:numCache>
            </c:numRef>
          </c:xVal>
          <c:yVal>
            <c:numRef>
              <c:f>'Chito-conc, vol '!$E$11:$E$14</c:f>
              <c:numCache>
                <c:formatCode>General</c:formatCode>
                <c:ptCount val="4"/>
                <c:pt idx="0">
                  <c:v>43.9</c:v>
                </c:pt>
                <c:pt idx="1">
                  <c:v>77.8</c:v>
                </c:pt>
                <c:pt idx="2">
                  <c:v>95.12</c:v>
                </c:pt>
                <c:pt idx="3">
                  <c:v>93.9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'Chito-conc, vol '!$F$10</c:f>
              <c:strCache>
                <c:ptCount val="1"/>
                <c:pt idx="0">
                  <c:v>1000ppm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star"/>
            <c:size val="5"/>
            <c:spPr>
              <a:noFill/>
              <a:ln w="12700">
                <a:solidFill>
                  <a:sysClr val="windowText" lastClr="000000"/>
                </a:solidFill>
              </a:ln>
            </c:spPr>
          </c:marker>
          <c:xVal>
            <c:numRef>
              <c:f>'Chito-conc, vol '!$A$11:$A$14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250</c:v>
                </c:pt>
              </c:numCache>
            </c:numRef>
          </c:xVal>
          <c:yVal>
            <c:numRef>
              <c:f>'Chito-conc, vol '!$F$11:$F$14</c:f>
              <c:numCache>
                <c:formatCode>General</c:formatCode>
                <c:ptCount val="4"/>
                <c:pt idx="0">
                  <c:v>36.340000000000003</c:v>
                </c:pt>
                <c:pt idx="1">
                  <c:v>49.26</c:v>
                </c:pt>
                <c:pt idx="2">
                  <c:v>64.14</c:v>
                </c:pt>
                <c:pt idx="3">
                  <c:v>90.98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2887608"/>
        <c:axId val="262890352"/>
      </c:scatterChart>
      <c:valAx>
        <c:axId val="262887608"/>
        <c:scaling>
          <c:orientation val="minMax"/>
          <c:max val="2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Chitosan volume (mL)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2890352"/>
        <c:crosses val="autoZero"/>
        <c:crossBetween val="midCat"/>
        <c:majorUnit val="50"/>
      </c:valAx>
      <c:valAx>
        <c:axId val="262890352"/>
        <c:scaling>
          <c:orientation val="minMax"/>
          <c:max val="1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Turbidity removal efficiency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2887608"/>
        <c:crosses val="autoZero"/>
        <c:crossBetween val="midCat"/>
        <c:majorUnit val="20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59505555555555567"/>
          <c:y val="0.52218832020997352"/>
          <c:w val="0.19105555555555542"/>
          <c:h val="0.29358595800524961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101779488384845"/>
          <c:y val="4.3503079271953744E-2"/>
          <c:w val="0.84583774043169968"/>
          <c:h val="0.7876040004803325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'Chito-rapid time'!$B$1</c:f>
              <c:strCache>
                <c:ptCount val="1"/>
                <c:pt idx="0">
                  <c:v>Colour removal (%)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triangle"/>
            <c:size val="5"/>
            <c:spPr>
              <a:solidFill>
                <a:schemeClr val="tx1"/>
              </a:solidFill>
              <a:ln w="12700">
                <a:solidFill>
                  <a:sysClr val="windowText" lastClr="000000"/>
                </a:solidFill>
              </a:ln>
            </c:spPr>
          </c:marker>
          <c:xVal>
            <c:numRef>
              <c:f>'Chito-rapid time'!$A$2:$A$6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'Chito-rapid time'!$B$2:$B$6</c:f>
              <c:numCache>
                <c:formatCode>General</c:formatCode>
                <c:ptCount val="5"/>
                <c:pt idx="0">
                  <c:v>77.45</c:v>
                </c:pt>
                <c:pt idx="1">
                  <c:v>80.08</c:v>
                </c:pt>
                <c:pt idx="2">
                  <c:v>81.58</c:v>
                </c:pt>
                <c:pt idx="3">
                  <c:v>84.66</c:v>
                </c:pt>
                <c:pt idx="4">
                  <c:v>84.92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'Chito-rapid time'!$C$1</c:f>
              <c:strCache>
                <c:ptCount val="1"/>
                <c:pt idx="0">
                  <c:v>Turbidity removal (%)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 w="12700">
                <a:solidFill>
                  <a:sysClr val="windowText" lastClr="000000"/>
                </a:solidFill>
              </a:ln>
            </c:spPr>
          </c:marker>
          <c:xVal>
            <c:numRef>
              <c:f>'Chito-rapid time'!$A$2:$A$6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'Chito-rapid time'!$C$2:$C$6</c:f>
              <c:numCache>
                <c:formatCode>General</c:formatCode>
                <c:ptCount val="5"/>
                <c:pt idx="0">
                  <c:v>56.01</c:v>
                </c:pt>
                <c:pt idx="1">
                  <c:v>62.65</c:v>
                </c:pt>
                <c:pt idx="2">
                  <c:v>82.98</c:v>
                </c:pt>
                <c:pt idx="3">
                  <c:v>87.55</c:v>
                </c:pt>
                <c:pt idx="4">
                  <c:v>96.26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562128"/>
        <c:axId val="325564480"/>
      </c:scatterChart>
      <c:valAx>
        <c:axId val="325562128"/>
        <c:scaling>
          <c:orientation val="minMax"/>
          <c:max val="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Rapid mixing rate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25564480"/>
        <c:crosses val="autoZero"/>
        <c:crossBetween val="midCat"/>
        <c:majorUnit val="1"/>
      </c:valAx>
      <c:valAx>
        <c:axId val="325564480"/>
        <c:scaling>
          <c:orientation val="minMax"/>
          <c:max val="100"/>
          <c:min val="5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Removal efficiency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25562128"/>
        <c:crosses val="autoZero"/>
        <c:crossBetween val="midCat"/>
        <c:majorUnit val="10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50931933508311467"/>
          <c:y val="0.60146799358413561"/>
          <c:w val="0.42927777777777815"/>
          <c:h val="0.18485345581802295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634251968503937"/>
          <c:y val="6.5289442986293383E-2"/>
          <c:w val="0.84032414698162727"/>
          <c:h val="0.7472991396908732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'Chito-slow time'!$B$1</c:f>
              <c:strCache>
                <c:ptCount val="1"/>
                <c:pt idx="0">
                  <c:v>Colour removal (%)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triangle"/>
            <c:size val="5"/>
            <c:spPr>
              <a:solidFill>
                <a:sysClr val="windowText" lastClr="000000"/>
              </a:solidFill>
              <a:ln w="12700">
                <a:solidFill>
                  <a:sysClr val="windowText" lastClr="000000"/>
                </a:solidFill>
              </a:ln>
            </c:spPr>
          </c:marker>
          <c:xVal>
            <c:numRef>
              <c:f>'Chito-slow time'!$A$2:$A$6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'Chito-slow time'!$B$2:$B$6</c:f>
              <c:numCache>
                <c:formatCode>General</c:formatCode>
                <c:ptCount val="5"/>
                <c:pt idx="0">
                  <c:v>86.39</c:v>
                </c:pt>
                <c:pt idx="1">
                  <c:v>91.31</c:v>
                </c:pt>
                <c:pt idx="2">
                  <c:v>92.09</c:v>
                </c:pt>
                <c:pt idx="3">
                  <c:v>94.78</c:v>
                </c:pt>
                <c:pt idx="4">
                  <c:v>92.05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'Chito-slow time'!$C$1</c:f>
              <c:strCache>
                <c:ptCount val="1"/>
                <c:pt idx="0">
                  <c:v>Turbidity removal (%)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ysClr val="windowText" lastClr="000000"/>
              </a:solidFill>
              <a:ln w="12700">
                <a:solidFill>
                  <a:sysClr val="windowText" lastClr="000000"/>
                </a:solidFill>
              </a:ln>
            </c:spPr>
          </c:marker>
          <c:xVal>
            <c:numRef>
              <c:f>'Chito-slow time'!$A$2:$A$6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'Chito-slow time'!$C$2:$C$6</c:f>
              <c:numCache>
                <c:formatCode>General</c:formatCode>
                <c:ptCount val="5"/>
                <c:pt idx="0">
                  <c:v>84.43</c:v>
                </c:pt>
                <c:pt idx="1">
                  <c:v>90.66</c:v>
                </c:pt>
                <c:pt idx="2">
                  <c:v>92.11</c:v>
                </c:pt>
                <c:pt idx="3">
                  <c:v>93.36</c:v>
                </c:pt>
                <c:pt idx="4">
                  <c:v>91.7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564872"/>
        <c:axId val="325562520"/>
      </c:scatterChart>
      <c:valAx>
        <c:axId val="325564872"/>
        <c:scaling>
          <c:orientation val="minMax"/>
          <c:max val="1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Slow mixing rate (rpm)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25562520"/>
        <c:crosses val="autoZero"/>
        <c:crossBetween val="midCat"/>
      </c:valAx>
      <c:valAx>
        <c:axId val="32556252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Removal efficiency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25564872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55654155730533683"/>
          <c:y val="0.64776428988043167"/>
          <c:w val="0.39038888888888978"/>
          <c:h val="0.13855715952172659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'poly-DOSE'!$B$15:$B$21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100</c:v>
                </c:pt>
              </c:numCache>
            </c:numRef>
          </c:xVal>
          <c:yVal>
            <c:numRef>
              <c:f>'poly-DOSE'!$C$15:$C$21</c:f>
              <c:numCache>
                <c:formatCode>General</c:formatCode>
                <c:ptCount val="7"/>
                <c:pt idx="0">
                  <c:v>16.2</c:v>
                </c:pt>
                <c:pt idx="1">
                  <c:v>12.8</c:v>
                </c:pt>
                <c:pt idx="2">
                  <c:v>13</c:v>
                </c:pt>
                <c:pt idx="3">
                  <c:v>13.1</c:v>
                </c:pt>
                <c:pt idx="4">
                  <c:v>13.3</c:v>
                </c:pt>
                <c:pt idx="5">
                  <c:v>13</c:v>
                </c:pt>
                <c:pt idx="6">
                  <c:v>13</c:v>
                </c:pt>
              </c:numCache>
            </c:numRef>
          </c:yVal>
          <c:smooth val="1"/>
        </c:ser>
        <c:ser>
          <c:idx val="1"/>
          <c:order val="1"/>
          <c:xVal>
            <c:numRef>
              <c:f>'poly-DOSE'!$B$15:$B$21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100</c:v>
                </c:pt>
              </c:numCache>
            </c:numRef>
          </c:xVal>
          <c:yVal>
            <c:numRef>
              <c:f>'poly-DOSE'!$D$15:$D$21</c:f>
              <c:numCache>
                <c:formatCode>General</c:formatCode>
                <c:ptCount val="7"/>
                <c:pt idx="0">
                  <c:v>11.9</c:v>
                </c:pt>
                <c:pt idx="1">
                  <c:v>1.4</c:v>
                </c:pt>
                <c:pt idx="2">
                  <c:v>0.8</c:v>
                </c:pt>
                <c:pt idx="3">
                  <c:v>0.7</c:v>
                </c:pt>
                <c:pt idx="4">
                  <c:v>0.8</c:v>
                </c:pt>
                <c:pt idx="5">
                  <c:v>0.7</c:v>
                </c:pt>
                <c:pt idx="6">
                  <c:v>1</c:v>
                </c:pt>
              </c:numCache>
            </c:numRef>
          </c:yVal>
          <c:smooth val="1"/>
        </c:ser>
        <c:ser>
          <c:idx val="2"/>
          <c:order val="2"/>
          <c:xVal>
            <c:numRef>
              <c:f>'poly-DOSE'!$B$15:$B$21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100</c:v>
                </c:pt>
              </c:numCache>
            </c:numRef>
          </c:xVal>
          <c:yVal>
            <c:numRef>
              <c:f>'poly-DOSE'!$E$15:$E$21</c:f>
              <c:numCache>
                <c:formatCode>General</c:formatCode>
                <c:ptCount val="7"/>
                <c:pt idx="0">
                  <c:v>8.64</c:v>
                </c:pt>
                <c:pt idx="1">
                  <c:v>9.11</c:v>
                </c:pt>
                <c:pt idx="2">
                  <c:v>8.5</c:v>
                </c:pt>
                <c:pt idx="3">
                  <c:v>8.15</c:v>
                </c:pt>
                <c:pt idx="4">
                  <c:v>8.59</c:v>
                </c:pt>
                <c:pt idx="5">
                  <c:v>7.26</c:v>
                </c:pt>
                <c:pt idx="6">
                  <c:v>6.49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557816"/>
        <c:axId val="325560952"/>
      </c:scatterChart>
      <c:valAx>
        <c:axId val="325557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5560952"/>
        <c:crosses val="autoZero"/>
        <c:crossBetween val="midCat"/>
      </c:valAx>
      <c:valAx>
        <c:axId val="3255609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32555781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'poly-DOSE'!$B$15:$B$21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100</c:v>
                </c:pt>
              </c:numCache>
            </c:numRef>
          </c:xVal>
          <c:yVal>
            <c:numRef>
              <c:f>'poly-DOSE'!$F$15:$F$21</c:f>
              <c:numCache>
                <c:formatCode>General</c:formatCode>
                <c:ptCount val="7"/>
                <c:pt idx="0">
                  <c:v>2.1</c:v>
                </c:pt>
                <c:pt idx="1">
                  <c:v>2.9</c:v>
                </c:pt>
                <c:pt idx="2">
                  <c:v>4.5</c:v>
                </c:pt>
                <c:pt idx="3">
                  <c:v>4.9000000000000004</c:v>
                </c:pt>
                <c:pt idx="4">
                  <c:v>4.5</c:v>
                </c:pt>
                <c:pt idx="5">
                  <c:v>4.9000000000000004</c:v>
                </c:pt>
                <c:pt idx="6">
                  <c:v>5.2</c:v>
                </c:pt>
              </c:numCache>
            </c:numRef>
          </c:yVal>
          <c:smooth val="1"/>
        </c:ser>
        <c:ser>
          <c:idx val="1"/>
          <c:order val="1"/>
          <c:xVal>
            <c:numRef>
              <c:f>'poly-DOSE'!$B$15:$B$21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100</c:v>
                </c:pt>
              </c:numCache>
            </c:numRef>
          </c:xVal>
          <c:yVal>
            <c:numRef>
              <c:f>'poly-DOSE'!$G$15:$G$21</c:f>
              <c:numCache>
                <c:formatCode>General</c:formatCode>
                <c:ptCount val="7"/>
                <c:pt idx="0">
                  <c:v>3.92</c:v>
                </c:pt>
                <c:pt idx="1">
                  <c:v>6.37</c:v>
                </c:pt>
                <c:pt idx="2">
                  <c:v>8.92</c:v>
                </c:pt>
                <c:pt idx="3">
                  <c:v>10.199999999999999</c:v>
                </c:pt>
                <c:pt idx="4">
                  <c:v>12.5</c:v>
                </c:pt>
                <c:pt idx="5">
                  <c:v>13.7</c:v>
                </c:pt>
                <c:pt idx="6">
                  <c:v>19.5</c:v>
                </c:pt>
              </c:numCache>
            </c:numRef>
          </c:yVal>
          <c:smooth val="1"/>
        </c:ser>
        <c:ser>
          <c:idx val="2"/>
          <c:order val="2"/>
          <c:xVal>
            <c:numRef>
              <c:f>'poly-DOSE'!$B$15:$B$21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100</c:v>
                </c:pt>
              </c:numCache>
            </c:numRef>
          </c:xVal>
          <c:yVal>
            <c:numRef>
              <c:f>'poly-DOSE'!$H$15:$H$21</c:f>
              <c:numCache>
                <c:formatCode>General</c:formatCode>
                <c:ptCount val="7"/>
                <c:pt idx="0">
                  <c:v>4.5</c:v>
                </c:pt>
                <c:pt idx="1">
                  <c:v>7.23</c:v>
                </c:pt>
                <c:pt idx="2">
                  <c:v>10.1</c:v>
                </c:pt>
                <c:pt idx="3">
                  <c:v>11.5</c:v>
                </c:pt>
                <c:pt idx="4">
                  <c:v>14.1</c:v>
                </c:pt>
                <c:pt idx="5">
                  <c:v>15.5</c:v>
                </c:pt>
                <c:pt idx="6">
                  <c:v>22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558208"/>
        <c:axId val="325561344"/>
      </c:scatterChart>
      <c:valAx>
        <c:axId val="325558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5561344"/>
        <c:crosses val="autoZero"/>
        <c:crossBetween val="midCat"/>
      </c:valAx>
      <c:valAx>
        <c:axId val="3255613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3255582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'poly-DOSE'!$B$5:$B$11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100</c:v>
                </c:pt>
              </c:numCache>
            </c:numRef>
          </c:xVal>
          <c:yVal>
            <c:numRef>
              <c:f>'poly-DOSE'!$E$5:$E$11</c:f>
              <c:numCache>
                <c:formatCode>0.00</c:formatCode>
                <c:ptCount val="7"/>
                <c:pt idx="0">
                  <c:v>29.172712337966011</c:v>
                </c:pt>
                <c:pt idx="1">
                  <c:v>86.938352139867845</c:v>
                </c:pt>
                <c:pt idx="2">
                  <c:v>89.864257191850641</c:v>
                </c:pt>
                <c:pt idx="3">
                  <c:v>90.559759212403918</c:v>
                </c:pt>
                <c:pt idx="4">
                  <c:v>90.005156308083414</c:v>
                </c:pt>
                <c:pt idx="5">
                  <c:v>89.474536232057844</c:v>
                </c:pt>
                <c:pt idx="6">
                  <c:v>86.947345700478451</c:v>
                </c:pt>
              </c:numCache>
            </c:numRef>
          </c:yVal>
          <c:smooth val="1"/>
        </c:ser>
        <c:ser>
          <c:idx val="1"/>
          <c:order val="1"/>
          <c:xVal>
            <c:numRef>
              <c:f>'poly-DOSE'!$B$5:$B$11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100</c:v>
                </c:pt>
              </c:numCache>
            </c:numRef>
          </c:xVal>
          <c:yVal>
            <c:numRef>
              <c:f>'poly-DOSE'!$F$5:$F$11</c:f>
              <c:numCache>
                <c:formatCode>0.00</c:formatCode>
                <c:ptCount val="7"/>
                <c:pt idx="0">
                  <c:v>31.567080045095828</c:v>
                </c:pt>
                <c:pt idx="1">
                  <c:v>86.471251409244644</c:v>
                </c:pt>
                <c:pt idx="2">
                  <c:v>93.235625704622322</c:v>
                </c:pt>
                <c:pt idx="3">
                  <c:v>95.26493799323562</c:v>
                </c:pt>
                <c:pt idx="4">
                  <c:v>96.166854565952647</c:v>
                </c:pt>
                <c:pt idx="5">
                  <c:v>93.686583990980836</c:v>
                </c:pt>
                <c:pt idx="6">
                  <c:v>93.573844419391207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558992"/>
        <c:axId val="325561736"/>
      </c:scatterChart>
      <c:valAx>
        <c:axId val="325558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5561736"/>
        <c:crosses val="autoZero"/>
        <c:crossBetween val="midCat"/>
      </c:valAx>
      <c:valAx>
        <c:axId val="325561736"/>
        <c:scaling>
          <c:orientation val="minMax"/>
          <c:max val="100"/>
        </c:scaling>
        <c:delete val="0"/>
        <c:axPos val="l"/>
        <c:numFmt formatCode="0.00" sourceLinked="1"/>
        <c:majorTickMark val="out"/>
        <c:minorTickMark val="none"/>
        <c:tickLblPos val="nextTo"/>
        <c:crossAx val="3255589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'poly-pH'!$A$13:$A$19</c:f>
              <c:numCache>
                <c:formatCode>General</c:formatCode>
                <c:ptCount val="7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</c:numCache>
            </c:numRef>
          </c:xVal>
          <c:yVal>
            <c:numRef>
              <c:f>'poly-pH'!$F$13:$F$19</c:f>
              <c:numCache>
                <c:formatCode>0.00</c:formatCode>
                <c:ptCount val="7"/>
                <c:pt idx="0">
                  <c:v>69.395398608881763</c:v>
                </c:pt>
                <c:pt idx="1">
                  <c:v>73.157083772605631</c:v>
                </c:pt>
                <c:pt idx="2">
                  <c:v>80.899619646105521</c:v>
                </c:pt>
                <c:pt idx="3">
                  <c:v>85.105048604578243</c:v>
                </c:pt>
                <c:pt idx="4">
                  <c:v>87.6562258910662</c:v>
                </c:pt>
                <c:pt idx="5">
                  <c:v>54.801250558284941</c:v>
                </c:pt>
                <c:pt idx="6">
                  <c:v>23.561408531348409</c:v>
                </c:pt>
              </c:numCache>
            </c:numRef>
          </c:yVal>
          <c:smooth val="1"/>
        </c:ser>
        <c:ser>
          <c:idx val="1"/>
          <c:order val="1"/>
          <c:xVal>
            <c:numRef>
              <c:f>'poly-pH'!$A$13:$A$19</c:f>
              <c:numCache>
                <c:formatCode>General</c:formatCode>
                <c:ptCount val="7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</c:numCache>
            </c:numRef>
          </c:xVal>
          <c:yVal>
            <c:numRef>
              <c:f>'poly-pH'!$G$13:$G$19</c:f>
              <c:numCache>
                <c:formatCode>0.00</c:formatCode>
                <c:ptCount val="7"/>
                <c:pt idx="0">
                  <c:v>69.960988296488949</c:v>
                </c:pt>
                <c:pt idx="1">
                  <c:v>84.880239520958085</c:v>
                </c:pt>
                <c:pt idx="2">
                  <c:v>88.146551724137936</c:v>
                </c:pt>
                <c:pt idx="3">
                  <c:v>93.805309734513273</c:v>
                </c:pt>
                <c:pt idx="4">
                  <c:v>90.303030303030312</c:v>
                </c:pt>
                <c:pt idx="5">
                  <c:v>79.587155963302749</c:v>
                </c:pt>
                <c:pt idx="6">
                  <c:v>75.982532751091696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563304"/>
        <c:axId val="325559776"/>
      </c:scatterChart>
      <c:valAx>
        <c:axId val="325563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5559776"/>
        <c:crosses val="autoZero"/>
        <c:crossBetween val="midCat"/>
      </c:valAx>
      <c:valAx>
        <c:axId val="325559776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3255633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70806026547294"/>
          <c:y val="4.6679009316469934E-2"/>
          <c:w val="0.82345973624462621"/>
          <c:h val="0.7566501602313876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'poly- Rapid '!$G$3</c:f>
              <c:strCache>
                <c:ptCount val="1"/>
                <c:pt idx="0">
                  <c:v>Colour removal (%)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triangle"/>
            <c:size val="5"/>
            <c:spPr>
              <a:solidFill>
                <a:sysClr val="windowText" lastClr="000000"/>
              </a:solidFill>
              <a:ln w="12700">
                <a:solidFill>
                  <a:sysClr val="windowText" lastClr="000000"/>
                </a:solidFill>
              </a:ln>
            </c:spPr>
          </c:marker>
          <c:xVal>
            <c:numRef>
              <c:f>'poly- Rapid '!$A$4:$A$9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</c:numCache>
            </c:numRef>
          </c:xVal>
          <c:yVal>
            <c:numRef>
              <c:f>'poly- Rapid '!$G$4:$G$9</c:f>
              <c:numCache>
                <c:formatCode>0.00</c:formatCode>
                <c:ptCount val="6"/>
                <c:pt idx="0">
                  <c:v>35.468451242829822</c:v>
                </c:pt>
                <c:pt idx="1">
                  <c:v>37.470124282982795</c:v>
                </c:pt>
                <c:pt idx="2">
                  <c:v>37.858508604206499</c:v>
                </c:pt>
                <c:pt idx="3">
                  <c:v>77.593212237093695</c:v>
                </c:pt>
                <c:pt idx="4">
                  <c:v>79.35587954110899</c:v>
                </c:pt>
                <c:pt idx="5">
                  <c:v>79.863766730401537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'poly- Rapid '!$H$3</c:f>
              <c:strCache>
                <c:ptCount val="1"/>
                <c:pt idx="0">
                  <c:v>Turbidity removal (%)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ysClr val="windowText" lastClr="000000"/>
              </a:solidFill>
              <a:ln w="12700">
                <a:solidFill>
                  <a:sysClr val="windowText" lastClr="000000"/>
                </a:solidFill>
              </a:ln>
            </c:spPr>
          </c:marker>
          <c:xVal>
            <c:numRef>
              <c:f>'poly- Rapid '!$A$4:$A$9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</c:numCache>
            </c:numRef>
          </c:xVal>
          <c:yVal>
            <c:numRef>
              <c:f>'poly- Rapid '!$H$4:$H$9</c:f>
              <c:numCache>
                <c:formatCode>0.0</c:formatCode>
                <c:ptCount val="6"/>
                <c:pt idx="0">
                  <c:v>56.177924217462937</c:v>
                </c:pt>
                <c:pt idx="1">
                  <c:v>59.637561779242176</c:v>
                </c:pt>
                <c:pt idx="2">
                  <c:v>63.261943986820427</c:v>
                </c:pt>
                <c:pt idx="3">
                  <c:v>64.744645799011536</c:v>
                </c:pt>
                <c:pt idx="4">
                  <c:v>67.710049423393741</c:v>
                </c:pt>
                <c:pt idx="5">
                  <c:v>68.533772652388805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560560"/>
        <c:axId val="325563696"/>
      </c:scatterChart>
      <c:valAx>
        <c:axId val="325560560"/>
        <c:scaling>
          <c:orientation val="minMax"/>
          <c:max val="3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Rapid mixing rate (rpm)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25563696"/>
        <c:crosses val="autoZero"/>
        <c:crossBetween val="midCat"/>
      </c:valAx>
      <c:valAx>
        <c:axId val="32556369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Removal efficiency (%)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325560560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60181311691866735"/>
          <c:y val="0.63451964042738274"/>
          <c:w val="0.3409271693799017"/>
          <c:h val="0.16533276824816162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5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13429571303591"/>
          <c:y val="5.1400554097404488E-2"/>
          <c:w val="0.81328237095363021"/>
          <c:h val="0.8026987672889206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'poly- Rapid '!$P$3</c:f>
              <c:strCache>
                <c:ptCount val="1"/>
                <c:pt idx="0">
                  <c:v>Colour removal (%)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triangle"/>
            <c:size val="5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</c:spPr>
          </c:marker>
          <c:xVal>
            <c:numRef>
              <c:f>'poly- Rapid '!$J$4:$J$8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'poly- Rapid '!$P$4:$P$8</c:f>
              <c:numCache>
                <c:formatCode>0.00</c:formatCode>
                <c:ptCount val="5"/>
                <c:pt idx="0">
                  <c:v>96.444789674952204</c:v>
                </c:pt>
                <c:pt idx="1">
                  <c:v>96.444789674952204</c:v>
                </c:pt>
                <c:pt idx="2">
                  <c:v>96.47466539196941</c:v>
                </c:pt>
                <c:pt idx="3">
                  <c:v>96.504541108986615</c:v>
                </c:pt>
                <c:pt idx="4">
                  <c:v>96.504541108986615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'poly- Rapid '!$Q$3</c:f>
              <c:strCache>
                <c:ptCount val="1"/>
                <c:pt idx="0">
                  <c:v>Turbidity removal (%)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 w="12700">
                <a:solidFill>
                  <a:sysClr val="windowText" lastClr="000000"/>
                </a:solidFill>
              </a:ln>
            </c:spPr>
          </c:marker>
          <c:xVal>
            <c:numRef>
              <c:f>'poly- Rapid '!$J$4:$J$8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'poly- Rapid '!$Q$4:$Q$8</c:f>
              <c:numCache>
                <c:formatCode>0.00</c:formatCode>
                <c:ptCount val="5"/>
                <c:pt idx="0">
                  <c:v>58.950617283950614</c:v>
                </c:pt>
                <c:pt idx="1">
                  <c:v>62.191358024691354</c:v>
                </c:pt>
                <c:pt idx="2">
                  <c:v>65.586419753086417</c:v>
                </c:pt>
                <c:pt idx="3">
                  <c:v>69.753086419753089</c:v>
                </c:pt>
                <c:pt idx="4">
                  <c:v>70.524691358024697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408080"/>
        <c:axId val="262889176"/>
      </c:scatterChart>
      <c:valAx>
        <c:axId val="123408080"/>
        <c:scaling>
          <c:orientation val="minMax"/>
          <c:max val="1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Rapid mixing 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2889176"/>
        <c:crosses val="autoZero"/>
        <c:crossBetween val="midCat"/>
      </c:valAx>
      <c:valAx>
        <c:axId val="262889176"/>
        <c:scaling>
          <c:orientation val="minMax"/>
          <c:max val="100"/>
          <c:min val="5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Removal efficiency</a:t>
                </a:r>
                <a:r>
                  <a:rPr lang="en-US" baseline="0"/>
                  <a:t> (%)</a:t>
                </a:r>
                <a:endParaRPr lang="en-US"/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23408080"/>
        <c:crosses val="autoZero"/>
        <c:crossBetween val="midCat"/>
        <c:majorUnit val="10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58709711286089261"/>
          <c:y val="0.67684243121295262"/>
          <c:w val="0.35179177602799649"/>
          <c:h val="0.17679782653572809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5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208573928258966"/>
          <c:y val="7.0903848286569746E-2"/>
          <c:w val="0.81735170603674545"/>
          <c:h val="0.762519315367268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'poly-Slow'!$G$3</c:f>
              <c:strCache>
                <c:ptCount val="1"/>
                <c:pt idx="0">
                  <c:v>Colour removal (%)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triangle"/>
            <c:size val="5"/>
            <c:spPr>
              <a:solidFill>
                <a:schemeClr val="tx1"/>
              </a:solidFill>
              <a:ln w="12700">
                <a:solidFill>
                  <a:sysClr val="windowText" lastClr="000000"/>
                </a:solidFill>
              </a:ln>
            </c:spPr>
          </c:marker>
          <c:xVal>
            <c:numRef>
              <c:f>'poly-Slow'!$A$4:$A$8</c:f>
              <c:numCache>
                <c:formatCode>General</c:formatCode>
                <c:ptCount val="5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</c:numCache>
            </c:numRef>
          </c:xVal>
          <c:yVal>
            <c:numRef>
              <c:f>'poly-Slow'!$G$4:$G$8</c:f>
              <c:numCache>
                <c:formatCode>0.00</c:formatCode>
                <c:ptCount val="5"/>
                <c:pt idx="0">
                  <c:v>88.348470363288712</c:v>
                </c:pt>
                <c:pt idx="1">
                  <c:v>88.16921606118548</c:v>
                </c:pt>
                <c:pt idx="2">
                  <c:v>88.019837476099426</c:v>
                </c:pt>
                <c:pt idx="3">
                  <c:v>84.285372848948384</c:v>
                </c:pt>
                <c:pt idx="4">
                  <c:v>61.251195028680691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'poly-Slow'!$H$3</c:f>
              <c:strCache>
                <c:ptCount val="1"/>
                <c:pt idx="0">
                  <c:v>Turbidity removal (%)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ysClr val="windowText" lastClr="000000"/>
              </a:solidFill>
              <a:ln w="12700">
                <a:solidFill>
                  <a:sysClr val="windowText" lastClr="000000"/>
                </a:solidFill>
              </a:ln>
            </c:spPr>
          </c:marker>
          <c:xVal>
            <c:numRef>
              <c:f>'poly-Slow'!$A$4:$A$8</c:f>
              <c:numCache>
                <c:formatCode>General</c:formatCode>
                <c:ptCount val="5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</c:numCache>
            </c:numRef>
          </c:xVal>
          <c:yVal>
            <c:numRef>
              <c:f>'poly-Slow'!$H$4:$H$8</c:f>
              <c:numCache>
                <c:formatCode>0.0</c:formatCode>
                <c:ptCount val="5"/>
                <c:pt idx="0">
                  <c:v>95.020188425302834</c:v>
                </c:pt>
                <c:pt idx="1">
                  <c:v>93.943472409152079</c:v>
                </c:pt>
                <c:pt idx="2">
                  <c:v>89.367429340511435</c:v>
                </c:pt>
                <c:pt idx="3">
                  <c:v>88.963660834454913</c:v>
                </c:pt>
                <c:pt idx="4">
                  <c:v>18.304172274562582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6169752"/>
        <c:axId val="326170536"/>
      </c:scatterChart>
      <c:valAx>
        <c:axId val="326169752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Slow mixing time (rpm)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26170536"/>
        <c:crosses val="autoZero"/>
        <c:crossBetween val="midCat"/>
        <c:majorUnit val="20"/>
      </c:valAx>
      <c:valAx>
        <c:axId val="326170536"/>
        <c:scaling>
          <c:orientation val="minMax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Removal efficiency (%)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326169752"/>
        <c:crosses val="autoZero"/>
        <c:crossBetween val="midCat"/>
        <c:majorUnit val="20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5509860017497813"/>
          <c:y val="0.68740416250785552"/>
          <c:w val="0.34068066491688564"/>
          <c:h val="0.15570810690917167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5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76285793717001"/>
          <c:y val="5.6773447252147918E-2"/>
          <c:w val="0.81873345898484962"/>
          <c:h val="0.7625652964927506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'poly-Slow'!$P$3</c:f>
              <c:strCache>
                <c:ptCount val="1"/>
                <c:pt idx="0">
                  <c:v>Colour removal (%)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triangle"/>
            <c:size val="5"/>
            <c:spPr>
              <a:solidFill>
                <a:sysClr val="windowText" lastClr="000000"/>
              </a:solidFill>
              <a:ln w="12700">
                <a:solidFill>
                  <a:sysClr val="windowText" lastClr="000000"/>
                </a:solidFill>
              </a:ln>
            </c:spPr>
          </c:marker>
          <c:xVal>
            <c:numRef>
              <c:f>'poly-Slow'!$J$4:$J$9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xVal>
          <c:yVal>
            <c:numRef>
              <c:f>'poly-Slow'!$P$4:$P$9</c:f>
              <c:numCache>
                <c:formatCode>0.00</c:formatCode>
                <c:ptCount val="6"/>
                <c:pt idx="0">
                  <c:v>88.019837476099426</c:v>
                </c:pt>
                <c:pt idx="1">
                  <c:v>88.109464627151041</c:v>
                </c:pt>
                <c:pt idx="2">
                  <c:v>87.90033460803059</c:v>
                </c:pt>
                <c:pt idx="3">
                  <c:v>87.81070745697896</c:v>
                </c:pt>
                <c:pt idx="4">
                  <c:v>84.733508604206492</c:v>
                </c:pt>
                <c:pt idx="5">
                  <c:v>84.165869980879535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'poly-Slow'!$Q$3</c:f>
              <c:strCache>
                <c:ptCount val="1"/>
                <c:pt idx="0">
                  <c:v>Turbidity removal (%)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ysClr val="windowText" lastClr="000000"/>
              </a:solidFill>
              <a:ln w="12700">
                <a:solidFill>
                  <a:sysClr val="windowText" lastClr="000000"/>
                </a:solidFill>
              </a:ln>
            </c:spPr>
          </c:marker>
          <c:xVal>
            <c:numRef>
              <c:f>'poly-Slow'!$J$4:$J$9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xVal>
          <c:yVal>
            <c:numRef>
              <c:f>'poly-Slow'!$Q$4:$Q$9</c:f>
              <c:numCache>
                <c:formatCode>0.00</c:formatCode>
                <c:ptCount val="6"/>
                <c:pt idx="0">
                  <c:v>91.666666666666657</c:v>
                </c:pt>
                <c:pt idx="1">
                  <c:v>93.827160493827151</c:v>
                </c:pt>
                <c:pt idx="2">
                  <c:v>91.049382716049394</c:v>
                </c:pt>
                <c:pt idx="3">
                  <c:v>88.73456790123457</c:v>
                </c:pt>
                <c:pt idx="4">
                  <c:v>87.654320987654316</c:v>
                </c:pt>
                <c:pt idx="5">
                  <c:v>86.882716049382708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6176808"/>
        <c:axId val="326174456"/>
      </c:scatterChart>
      <c:valAx>
        <c:axId val="326176808"/>
        <c:scaling>
          <c:orientation val="minMax"/>
          <c:max val="6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Slow mixing 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26174456"/>
        <c:crosses val="autoZero"/>
        <c:crossBetween val="midCat"/>
      </c:valAx>
      <c:valAx>
        <c:axId val="32617445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Removal efficiency (%)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326176808"/>
        <c:crosses val="autoZero"/>
        <c:crossBetween val="midCat"/>
      </c:valAx>
      <c:spPr>
        <a:ln w="127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6552945477311581"/>
          <c:y val="0.65891418384417477"/>
          <c:w val="0.35604429763210382"/>
          <c:h val="0.1372494756147114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5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5.1400554097404488E-2"/>
          <c:w val="0.84254636920384951"/>
          <c:h val="0.7982250656167978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'poly-review 1'!$B$3</c:f>
              <c:strCache>
                <c:ptCount val="1"/>
                <c:pt idx="0">
                  <c:v>Colour removal (%)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triangle"/>
            <c:size val="5"/>
            <c:spPr>
              <a:solidFill>
                <a:schemeClr val="tx1"/>
              </a:solidFill>
              <a:ln w="12700">
                <a:solidFill>
                  <a:schemeClr val="tx1"/>
                </a:solidFill>
                <a:prstDash val="sysDot"/>
              </a:ln>
            </c:spPr>
          </c:marker>
          <c:xVal>
            <c:numRef>
              <c:f>'poly-review 1'!$A$4:$A$10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100</c:v>
                </c:pt>
              </c:numCache>
            </c:numRef>
          </c:xVal>
          <c:yVal>
            <c:numRef>
              <c:f>'poly-review 1'!$B$4:$B$10</c:f>
              <c:numCache>
                <c:formatCode>0.0</c:formatCode>
                <c:ptCount val="7"/>
                <c:pt idx="0">
                  <c:v>29.172712337966011</c:v>
                </c:pt>
                <c:pt idx="1">
                  <c:v>86.938352139867845</c:v>
                </c:pt>
                <c:pt idx="2">
                  <c:v>89.864257191850641</c:v>
                </c:pt>
                <c:pt idx="3">
                  <c:v>90.559759212403918</c:v>
                </c:pt>
                <c:pt idx="4">
                  <c:v>90.005156308083414</c:v>
                </c:pt>
                <c:pt idx="5">
                  <c:v>89.474536232057844</c:v>
                </c:pt>
                <c:pt idx="6">
                  <c:v>86.947345700478451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'poly-review 1'!$C$3</c:f>
              <c:strCache>
                <c:ptCount val="1"/>
                <c:pt idx="0">
                  <c:v>Turbidity removal (%)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 w="12700" cap="sq">
                <a:solidFill>
                  <a:sysClr val="windowText" lastClr="000000"/>
                </a:solidFill>
                <a:prstDash val="sysDash"/>
              </a:ln>
            </c:spPr>
          </c:marker>
          <c:xVal>
            <c:numRef>
              <c:f>'poly-review 1'!$A$4:$A$10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100</c:v>
                </c:pt>
              </c:numCache>
            </c:numRef>
          </c:xVal>
          <c:yVal>
            <c:numRef>
              <c:f>'poly-review 1'!$C$4:$C$10</c:f>
              <c:numCache>
                <c:formatCode>0.0</c:formatCode>
                <c:ptCount val="7"/>
                <c:pt idx="0">
                  <c:v>31.567080045095828</c:v>
                </c:pt>
                <c:pt idx="1">
                  <c:v>86.471251409244644</c:v>
                </c:pt>
                <c:pt idx="2">
                  <c:v>93.235625704622322</c:v>
                </c:pt>
                <c:pt idx="3">
                  <c:v>95.26493799323562</c:v>
                </c:pt>
                <c:pt idx="4">
                  <c:v>96.166854565952647</c:v>
                </c:pt>
                <c:pt idx="5">
                  <c:v>93.686583990980836</c:v>
                </c:pt>
                <c:pt idx="6">
                  <c:v>93.573844419391207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6170928"/>
        <c:axId val="326176024"/>
      </c:scatterChart>
      <c:valAx>
        <c:axId val="326170928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Coagulant volume (mL)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26176024"/>
        <c:crosses val="autoZero"/>
        <c:crossBetween val="midCat"/>
        <c:majorUnit val="10"/>
      </c:valAx>
      <c:valAx>
        <c:axId val="326176024"/>
        <c:scaling>
          <c:orientation val="minMax"/>
          <c:max val="1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Removal efficiency (%)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326170928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55654155730533683"/>
          <c:y val="0.6709124380285808"/>
          <c:w val="0.38773622047244116"/>
          <c:h val="0.14459463400408279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3429571303598"/>
          <c:y val="5.1400554097404468E-2"/>
          <c:w val="0.83828237095363056"/>
          <c:h val="0.7750769174686501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'poly-review 1'!$B$19</c:f>
              <c:strCache>
                <c:ptCount val="1"/>
                <c:pt idx="0">
                  <c:v>Colour removal (%)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triangle"/>
            <c:size val="5"/>
            <c:spPr>
              <a:solidFill>
                <a:schemeClr val="tx1"/>
              </a:solidFill>
              <a:ln w="12700">
                <a:solidFill>
                  <a:sysClr val="windowText" lastClr="000000"/>
                </a:solidFill>
                <a:prstDash val="sysDash"/>
              </a:ln>
            </c:spPr>
          </c:marker>
          <c:xVal>
            <c:numRef>
              <c:f>'poly-review 1'!$A$20:$A$26</c:f>
              <c:numCache>
                <c:formatCode>General</c:formatCode>
                <c:ptCount val="7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</c:numCache>
            </c:numRef>
          </c:xVal>
          <c:yVal>
            <c:numRef>
              <c:f>'poly-review 1'!$B$20:$B$26</c:f>
              <c:numCache>
                <c:formatCode>0.0</c:formatCode>
                <c:ptCount val="7"/>
                <c:pt idx="0">
                  <c:v>69.395398608881763</c:v>
                </c:pt>
                <c:pt idx="1">
                  <c:v>73.157083772605631</c:v>
                </c:pt>
                <c:pt idx="2">
                  <c:v>80.899619646105521</c:v>
                </c:pt>
                <c:pt idx="3">
                  <c:v>85.105048604578243</c:v>
                </c:pt>
                <c:pt idx="4">
                  <c:v>87.6562258910662</c:v>
                </c:pt>
                <c:pt idx="5">
                  <c:v>54.801250558284941</c:v>
                </c:pt>
                <c:pt idx="6">
                  <c:v>23.561408531348409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'poly-review 1'!$C$19</c:f>
              <c:strCache>
                <c:ptCount val="1"/>
                <c:pt idx="0">
                  <c:v>Turbidity removal (%)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ysClr val="windowText" lastClr="000000"/>
              </a:solidFill>
              <a:ln w="12700">
                <a:solidFill>
                  <a:schemeClr val="tx1"/>
                </a:solidFill>
              </a:ln>
            </c:spPr>
          </c:marker>
          <c:xVal>
            <c:numRef>
              <c:f>'poly-review 1'!$A$20:$A$26</c:f>
              <c:numCache>
                <c:formatCode>General</c:formatCode>
                <c:ptCount val="7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</c:numCache>
            </c:numRef>
          </c:xVal>
          <c:yVal>
            <c:numRef>
              <c:f>'poly-review 1'!$C$20:$C$26</c:f>
              <c:numCache>
                <c:formatCode>0.0</c:formatCode>
                <c:ptCount val="7"/>
                <c:pt idx="0">
                  <c:v>69.960988296488949</c:v>
                </c:pt>
                <c:pt idx="1">
                  <c:v>84.880239520958085</c:v>
                </c:pt>
                <c:pt idx="2">
                  <c:v>88.146551724137936</c:v>
                </c:pt>
                <c:pt idx="3">
                  <c:v>93.805309734513273</c:v>
                </c:pt>
                <c:pt idx="4">
                  <c:v>90.303030303030312</c:v>
                </c:pt>
                <c:pt idx="5">
                  <c:v>79.587155963302749</c:v>
                </c:pt>
                <c:pt idx="6">
                  <c:v>75.982532751091696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6175632"/>
        <c:axId val="326171320"/>
      </c:scatterChart>
      <c:valAx>
        <c:axId val="326175632"/>
        <c:scaling>
          <c:orientation val="minMax"/>
          <c:max val="10"/>
          <c:min val="3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Intial pH of effluent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26171320"/>
        <c:crosses val="autoZero"/>
        <c:crossBetween val="midCat"/>
        <c:majorUnit val="1"/>
      </c:valAx>
      <c:valAx>
        <c:axId val="326171320"/>
        <c:scaling>
          <c:orientation val="minMax"/>
          <c:min val="2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Removal efficiency (%)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326175632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49820822397200387"/>
          <c:y val="0.63850503062117336"/>
          <c:w val="0.37651399825021897"/>
          <c:h val="0.15293963254593201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5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79615048119006"/>
          <c:y val="5.0925925925925923E-2"/>
          <c:w val="0.86105664916885383"/>
          <c:h val="0.754861111111111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CONSOLI!$B$2</c:f>
              <c:strCache>
                <c:ptCount val="1"/>
                <c:pt idx="0">
                  <c:v>CHITOSAN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CONSOLI!$A$3:$A$7</c:f>
              <c:strCache>
                <c:ptCount val="5"/>
                <c:pt idx="0">
                  <c:v>RAW</c:v>
                </c:pt>
                <c:pt idx="1">
                  <c:v>COAGULATION</c:v>
                </c:pt>
                <c:pt idx="2">
                  <c:v>SAND FILTRATION</c:v>
                </c:pt>
                <c:pt idx="3">
                  <c:v>ADSORPTION</c:v>
                </c:pt>
                <c:pt idx="4">
                  <c:v>ULTRA FILTRATION</c:v>
                </c:pt>
              </c:strCache>
            </c:strRef>
          </c:cat>
          <c:val>
            <c:numRef>
              <c:f>CONSOLI!$B$3:$B$7</c:f>
              <c:numCache>
                <c:formatCode>General</c:formatCode>
                <c:ptCount val="5"/>
                <c:pt idx="0">
                  <c:v>1.2126999999999999</c:v>
                </c:pt>
                <c:pt idx="1">
                  <c:v>0.29499999999999998</c:v>
                </c:pt>
                <c:pt idx="2">
                  <c:v>3.4000000000000002E-2</c:v>
                </c:pt>
                <c:pt idx="3">
                  <c:v>2.76E-2</c:v>
                </c:pt>
                <c:pt idx="4">
                  <c:v>2.18E-2</c:v>
                </c:pt>
              </c:numCache>
            </c:numRef>
          </c:val>
        </c:ser>
        <c:ser>
          <c:idx val="1"/>
          <c:order val="1"/>
          <c:tx>
            <c:strRef>
              <c:f>CONSOLI!$C$2</c:f>
              <c:strCache>
                <c:ptCount val="1"/>
                <c:pt idx="0">
                  <c:v>POLYAMINE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strRef>
              <c:f>CONSOLI!$A$3:$A$7</c:f>
              <c:strCache>
                <c:ptCount val="5"/>
                <c:pt idx="0">
                  <c:v>RAW</c:v>
                </c:pt>
                <c:pt idx="1">
                  <c:v>COAGULATION</c:v>
                </c:pt>
                <c:pt idx="2">
                  <c:v>SAND FILTRATION</c:v>
                </c:pt>
                <c:pt idx="3">
                  <c:v>ADSORPTION</c:v>
                </c:pt>
                <c:pt idx="4">
                  <c:v>ULTRA FILTRATION</c:v>
                </c:pt>
              </c:strCache>
            </c:strRef>
          </c:cat>
          <c:val>
            <c:numRef>
              <c:f>CONSOLI!$C$3:$C$7</c:f>
              <c:numCache>
                <c:formatCode>General</c:formatCode>
                <c:ptCount val="5"/>
                <c:pt idx="0">
                  <c:v>1.2126999999999999</c:v>
                </c:pt>
                <c:pt idx="1">
                  <c:v>0.39560000000000001</c:v>
                </c:pt>
                <c:pt idx="2">
                  <c:v>0.37040000000000001</c:v>
                </c:pt>
                <c:pt idx="3">
                  <c:v>0.2324</c:v>
                </c:pt>
                <c:pt idx="4">
                  <c:v>0.14399999999999999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6171712"/>
        <c:axId val="326173672"/>
      </c:barChart>
      <c:catAx>
        <c:axId val="326171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Treatment train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326173672"/>
        <c:crosses val="autoZero"/>
        <c:auto val="1"/>
        <c:lblAlgn val="ctr"/>
        <c:lblOffset val="100"/>
        <c:noMultiLvlLbl val="0"/>
      </c:catAx>
      <c:valAx>
        <c:axId val="32617367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Residual colour (nm)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26171712"/>
        <c:crosses val="autoZero"/>
        <c:crossBetween val="between"/>
      </c:valAx>
      <c:spPr>
        <a:ln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76107502187226606"/>
          <c:y val="7.128390201224849E-2"/>
          <c:w val="0.1944805336832896"/>
          <c:h val="0.16298775153105868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+mj-lt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14129483814523"/>
          <c:y val="5.1400554097404488E-2"/>
          <c:w val="0.86184623797025373"/>
          <c:h val="0.740978419364246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CONSOLI!$D$2</c:f>
              <c:strCache>
                <c:ptCount val="1"/>
                <c:pt idx="0">
                  <c:v>CHITOSAN</c:v>
                </c:pt>
              </c:strCache>
            </c:strRef>
          </c:tx>
          <c:spPr>
            <a:solidFill>
              <a:srgbClr val="00B0F0"/>
            </a:solidFill>
          </c:spPr>
          <c:invertIfNegative val="0"/>
          <c:cat>
            <c:strRef>
              <c:f>CONSOLI!$A$3:$A$7</c:f>
              <c:strCache>
                <c:ptCount val="5"/>
                <c:pt idx="0">
                  <c:v>RAW</c:v>
                </c:pt>
                <c:pt idx="1">
                  <c:v>COAGULATION</c:v>
                </c:pt>
                <c:pt idx="2">
                  <c:v>SAND FILTRATION</c:v>
                </c:pt>
                <c:pt idx="3">
                  <c:v>ADSORPTION</c:v>
                </c:pt>
                <c:pt idx="4">
                  <c:v>ULTRA FILTRATION</c:v>
                </c:pt>
              </c:strCache>
            </c:strRef>
          </c:cat>
          <c:val>
            <c:numRef>
              <c:f>CONSOLI!$D$3:$D$7</c:f>
              <c:numCache>
                <c:formatCode>General</c:formatCode>
                <c:ptCount val="5"/>
                <c:pt idx="0">
                  <c:v>437</c:v>
                </c:pt>
                <c:pt idx="1">
                  <c:v>175</c:v>
                </c:pt>
                <c:pt idx="2">
                  <c:v>8</c:v>
                </c:pt>
                <c:pt idx="3">
                  <c:v>5</c:v>
                </c:pt>
                <c:pt idx="4">
                  <c:v>3</c:v>
                </c:pt>
              </c:numCache>
            </c:numRef>
          </c:val>
        </c:ser>
        <c:ser>
          <c:idx val="1"/>
          <c:order val="1"/>
          <c:tx>
            <c:strRef>
              <c:f>CONSOLI!$E$2</c:f>
              <c:strCache>
                <c:ptCount val="1"/>
                <c:pt idx="0">
                  <c:v>POLYAMINE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CONSOLI!$A$3:$A$7</c:f>
              <c:strCache>
                <c:ptCount val="5"/>
                <c:pt idx="0">
                  <c:v>RAW</c:v>
                </c:pt>
                <c:pt idx="1">
                  <c:v>COAGULATION</c:v>
                </c:pt>
                <c:pt idx="2">
                  <c:v>SAND FILTRATION</c:v>
                </c:pt>
                <c:pt idx="3">
                  <c:v>ADSORPTION</c:v>
                </c:pt>
                <c:pt idx="4">
                  <c:v>ULTRA FILTRATION</c:v>
                </c:pt>
              </c:strCache>
            </c:strRef>
          </c:cat>
          <c:val>
            <c:numRef>
              <c:f>CONSOLI!$E$3:$E$7</c:f>
              <c:numCache>
                <c:formatCode>General</c:formatCode>
                <c:ptCount val="5"/>
                <c:pt idx="0">
                  <c:v>437</c:v>
                </c:pt>
                <c:pt idx="1">
                  <c:v>52</c:v>
                </c:pt>
                <c:pt idx="2">
                  <c:v>14</c:v>
                </c:pt>
                <c:pt idx="3">
                  <c:v>5</c:v>
                </c:pt>
                <c:pt idx="4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6174064"/>
        <c:axId val="326172496"/>
      </c:barChart>
      <c:catAx>
        <c:axId val="326174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Treatment train</a:t>
                </a:r>
              </a:p>
            </c:rich>
          </c:tx>
          <c:layout>
            <c:manualLayout>
              <c:xMode val="edge"/>
              <c:yMode val="edge"/>
              <c:x val="0.39644641294838162"/>
              <c:y val="0.91066090696996171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326172496"/>
        <c:crosses val="autoZero"/>
        <c:auto val="1"/>
        <c:lblAlgn val="ctr"/>
        <c:lblOffset val="100"/>
        <c:noMultiLvlLbl val="0"/>
      </c:catAx>
      <c:valAx>
        <c:axId val="326172496"/>
        <c:scaling>
          <c:orientation val="minMax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Residual turbidity (NTU)</a:t>
                </a:r>
              </a:p>
            </c:rich>
          </c:tx>
          <c:layout>
            <c:manualLayout>
              <c:xMode val="edge"/>
              <c:yMode val="edge"/>
              <c:x val="8.8869203849518789E-3"/>
              <c:y val="0.1457181393992419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26174064"/>
        <c:crosses val="autoZero"/>
        <c:crossBetween val="between"/>
        <c:majorUnit val="100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2955971128608954"/>
          <c:y val="7.4424394867308327E-2"/>
          <c:w val="0.23710695538057738"/>
          <c:h val="0.13818824730242071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+mj-lt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226695</xdr:colOff>
      <xdr:row>0</xdr:row>
      <xdr:rowOff>1904</xdr:rowOff>
    </xdr:from>
    <xdr:to>
      <xdr:col>10</xdr:col>
      <xdr:colOff>55245</xdr:colOff>
      <xdr:row>15</xdr:row>
      <xdr:rowOff>22859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312420</xdr:colOff>
      <xdr:row>0</xdr:row>
      <xdr:rowOff>87629</xdr:rowOff>
    </xdr:from>
    <xdr:to>
      <xdr:col>10</xdr:col>
      <xdr:colOff>169545</xdr:colOff>
      <xdr:row>15</xdr:row>
      <xdr:rowOff>49530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68580</xdr:rowOff>
    </xdr:from>
    <xdr:to>
      <xdr:col>14</xdr:col>
      <xdr:colOff>342900</xdr:colOff>
      <xdr:row>15</xdr:row>
      <xdr:rowOff>68580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45720</xdr:colOff>
      <xdr:row>16</xdr:row>
      <xdr:rowOff>30480</xdr:rowOff>
    </xdr:from>
    <xdr:to>
      <xdr:col>14</xdr:col>
      <xdr:colOff>350520</xdr:colOff>
      <xdr:row>31</xdr:row>
      <xdr:rowOff>30480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205740</xdr:colOff>
      <xdr:row>0</xdr:row>
      <xdr:rowOff>0</xdr:rowOff>
    </xdr:from>
    <xdr:to>
      <xdr:col>10</xdr:col>
      <xdr:colOff>22860</xdr:colOff>
      <xdr:row>12</xdr:row>
      <xdr:rowOff>137160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2</xdr:row>
      <xdr:rowOff>152400</xdr:rowOff>
    </xdr:from>
    <xdr:to>
      <xdr:col>10</xdr:col>
      <xdr:colOff>320040</xdr:colOff>
      <xdr:row>17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22</xdr:row>
      <xdr:rowOff>133350</xdr:rowOff>
    </xdr:from>
    <xdr:to>
      <xdr:col>5</xdr:col>
      <xdr:colOff>1076325</xdr:colOff>
      <xdr:row>37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1438275</xdr:colOff>
      <xdr:row>23</xdr:row>
      <xdr:rowOff>9525</xdr:rowOff>
    </xdr:from>
    <xdr:to>
      <xdr:col>11</xdr:col>
      <xdr:colOff>152400</xdr:colOff>
      <xdr:row>37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457200</xdr:colOff>
      <xdr:row>0</xdr:row>
      <xdr:rowOff>76200</xdr:rowOff>
    </xdr:from>
    <xdr:to>
      <xdr:col>12</xdr:col>
      <xdr:colOff>19050</xdr:colOff>
      <xdr:row>14</xdr:row>
      <xdr:rowOff>38100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304800</xdr:colOff>
      <xdr:row>5</xdr:row>
      <xdr:rowOff>0</xdr:rowOff>
    </xdr:from>
    <xdr:to>
      <xdr:col>16</xdr:col>
      <xdr:colOff>0</xdr:colOff>
      <xdr:row>19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828675</xdr:colOff>
      <xdr:row>13</xdr:row>
      <xdr:rowOff>152400</xdr:rowOff>
    </xdr:from>
    <xdr:to>
      <xdr:col>7</xdr:col>
      <xdr:colOff>152400</xdr:colOff>
      <xdr:row>28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57150</xdr:colOff>
      <xdr:row>12</xdr:row>
      <xdr:rowOff>47625</xdr:rowOff>
    </xdr:from>
    <xdr:to>
      <xdr:col>16</xdr:col>
      <xdr:colOff>361950</xdr:colOff>
      <xdr:row>26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11</xdr:row>
      <xdr:rowOff>51435</xdr:rowOff>
    </xdr:from>
    <xdr:to>
      <xdr:col>7</xdr:col>
      <xdr:colOff>541020</xdr:colOff>
      <xdr:row>25</xdr:row>
      <xdr:rowOff>120015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552450</xdr:colOff>
      <xdr:row>11</xdr:row>
      <xdr:rowOff>144780</xdr:rowOff>
    </xdr:from>
    <xdr:to>
      <xdr:col>17</xdr:col>
      <xdr:colOff>243840</xdr:colOff>
      <xdr:row>26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220980</xdr:colOff>
      <xdr:row>0</xdr:row>
      <xdr:rowOff>144780</xdr:rowOff>
    </xdr:from>
    <xdr:to>
      <xdr:col>10</xdr:col>
      <xdr:colOff>525780</xdr:colOff>
      <xdr:row>15</xdr:row>
      <xdr:rowOff>22860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106680</xdr:colOff>
      <xdr:row>16</xdr:row>
      <xdr:rowOff>99060</xdr:rowOff>
    </xdr:from>
    <xdr:to>
      <xdr:col>10</xdr:col>
      <xdr:colOff>411480</xdr:colOff>
      <xdr:row>30</xdr:row>
      <xdr:rowOff>160020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114300</xdr:colOff>
      <xdr:row>0</xdr:row>
      <xdr:rowOff>45720</xdr:rowOff>
    </xdr:from>
    <xdr:to>
      <xdr:col>15</xdr:col>
      <xdr:colOff>419100</xdr:colOff>
      <xdr:row>15</xdr:row>
      <xdr:rowOff>45720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502920</xdr:colOff>
      <xdr:row>8</xdr:row>
      <xdr:rowOff>106680</xdr:rowOff>
    </xdr:from>
    <xdr:to>
      <xdr:col>7</xdr:col>
      <xdr:colOff>548640</xdr:colOff>
      <xdr:row>23</xdr:row>
      <xdr:rowOff>106680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A11" sqref="A11"/>
    </sheetView>
  </sheetViews>
  <sheetFormatPr defaultRowHeight="15" x14ac:dyDescent="0.25"/>
  <cols>
    <col min="1" max="1" width="22.140625" customWidth="1"/>
    <col min="2" max="2" width="18.28515625" customWidth="1"/>
    <col min="3" max="3" width="19.7109375" customWidth="1"/>
  </cols>
  <sheetData>
    <row r="1" spans="1:3" x14ac:dyDescent="0.25">
      <c r="A1" s="70" t="s">
        <v>60</v>
      </c>
      <c r="B1" t="s">
        <v>7</v>
      </c>
      <c r="C1" t="s">
        <v>8</v>
      </c>
    </row>
    <row r="2" spans="1:3" x14ac:dyDescent="0.25">
      <c r="A2">
        <v>50</v>
      </c>
      <c r="B2">
        <v>77.78</v>
      </c>
      <c r="C2">
        <v>91.7</v>
      </c>
    </row>
    <row r="3" spans="1:3" x14ac:dyDescent="0.25">
      <c r="A3">
        <v>100</v>
      </c>
      <c r="B3">
        <v>83.61</v>
      </c>
      <c r="C3">
        <v>89.62</v>
      </c>
    </row>
    <row r="4" spans="1:3" x14ac:dyDescent="0.25">
      <c r="A4">
        <v>150</v>
      </c>
      <c r="B4">
        <v>78.31</v>
      </c>
      <c r="C4">
        <v>75.930000000000007</v>
      </c>
    </row>
    <row r="5" spans="1:3" x14ac:dyDescent="0.25">
      <c r="A5">
        <v>200</v>
      </c>
      <c r="B5">
        <v>83.81</v>
      </c>
      <c r="C5">
        <v>90.66</v>
      </c>
    </row>
    <row r="6" spans="1:3" x14ac:dyDescent="0.25">
      <c r="A6">
        <v>250</v>
      </c>
      <c r="B6">
        <v>81.78</v>
      </c>
      <c r="C6">
        <v>82.36</v>
      </c>
    </row>
    <row r="7" spans="1:3" x14ac:dyDescent="0.25">
      <c r="A7" s="71">
        <v>300</v>
      </c>
      <c r="B7">
        <v>84.27</v>
      </c>
      <c r="C7">
        <v>92.11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opLeftCell="A2" workbookViewId="0">
      <selection activeCell="B19" sqref="B19"/>
    </sheetView>
  </sheetViews>
  <sheetFormatPr defaultRowHeight="15" x14ac:dyDescent="0.25"/>
  <cols>
    <col min="1" max="1" width="21.7109375" customWidth="1"/>
    <col min="2" max="2" width="18" customWidth="1"/>
    <col min="3" max="3" width="20.140625" customWidth="1"/>
  </cols>
  <sheetData>
    <row r="1" spans="1:3" x14ac:dyDescent="0.25">
      <c r="A1" s="70" t="s">
        <v>86</v>
      </c>
      <c r="B1" s="70" t="s">
        <v>7</v>
      </c>
      <c r="C1" s="70" t="s">
        <v>8</v>
      </c>
    </row>
    <row r="2" spans="1:3" x14ac:dyDescent="0.25">
      <c r="A2">
        <v>20</v>
      </c>
      <c r="B2">
        <v>89.04</v>
      </c>
      <c r="C2">
        <v>89.62</v>
      </c>
    </row>
    <row r="3" spans="1:3" x14ac:dyDescent="0.25">
      <c r="A3">
        <v>40</v>
      </c>
      <c r="B3">
        <v>92.53</v>
      </c>
      <c r="C3">
        <v>96.68</v>
      </c>
    </row>
    <row r="4" spans="1:3" x14ac:dyDescent="0.25">
      <c r="A4" s="71">
        <v>60</v>
      </c>
      <c r="B4">
        <v>93.26</v>
      </c>
      <c r="C4">
        <v>97.09</v>
      </c>
    </row>
    <row r="5" spans="1:3" x14ac:dyDescent="0.25">
      <c r="A5">
        <v>80</v>
      </c>
      <c r="B5">
        <v>85.57</v>
      </c>
      <c r="C5">
        <v>83.81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opLeftCell="A4" workbookViewId="0">
      <selection activeCell="D30" sqref="D30"/>
    </sheetView>
  </sheetViews>
  <sheetFormatPr defaultRowHeight="15" x14ac:dyDescent="0.25"/>
  <cols>
    <col min="1" max="1" width="20.5703125" customWidth="1"/>
  </cols>
  <sheetData>
    <row r="1" spans="1:7" s="72" customFormat="1" x14ac:dyDescent="0.25">
      <c r="A1" s="73" t="s">
        <v>84</v>
      </c>
      <c r="B1" s="73"/>
      <c r="C1" s="73"/>
      <c r="D1" s="73"/>
      <c r="E1" s="73"/>
      <c r="F1" s="73"/>
    </row>
    <row r="2" spans="1:7" x14ac:dyDescent="0.25">
      <c r="A2" s="70" t="s">
        <v>77</v>
      </c>
      <c r="B2" t="s">
        <v>82</v>
      </c>
      <c r="C2" s="71" t="s">
        <v>81</v>
      </c>
      <c r="D2" t="s">
        <v>80</v>
      </c>
      <c r="E2" t="s">
        <v>79</v>
      </c>
      <c r="F2" t="s">
        <v>78</v>
      </c>
    </row>
    <row r="3" spans="1:7" x14ac:dyDescent="0.25">
      <c r="A3">
        <v>50</v>
      </c>
      <c r="B3">
        <v>50.23</v>
      </c>
      <c r="C3">
        <v>87.56</v>
      </c>
      <c r="D3">
        <v>73.12</v>
      </c>
      <c r="E3">
        <v>78.37</v>
      </c>
      <c r="F3">
        <v>73.16</v>
      </c>
    </row>
    <row r="4" spans="1:7" x14ac:dyDescent="0.25">
      <c r="A4">
        <v>100</v>
      </c>
      <c r="B4">
        <v>88.19</v>
      </c>
      <c r="C4">
        <v>95.33</v>
      </c>
      <c r="D4">
        <v>87.48</v>
      </c>
      <c r="E4">
        <v>88.45</v>
      </c>
      <c r="F4">
        <v>77.400000000000006</v>
      </c>
    </row>
    <row r="5" spans="1:7" x14ac:dyDescent="0.25">
      <c r="A5" s="71">
        <v>150</v>
      </c>
      <c r="B5">
        <v>84.71</v>
      </c>
      <c r="C5">
        <v>94.24</v>
      </c>
      <c r="D5">
        <v>91.39</v>
      </c>
      <c r="E5">
        <v>91.26</v>
      </c>
      <c r="F5">
        <v>88.45</v>
      </c>
    </row>
    <row r="6" spans="1:7" x14ac:dyDescent="0.25">
      <c r="A6">
        <v>250</v>
      </c>
      <c r="B6">
        <v>73.540000000000006</v>
      </c>
      <c r="C6">
        <v>88.28</v>
      </c>
      <c r="D6">
        <v>91.43</v>
      </c>
      <c r="E6">
        <v>91.43</v>
      </c>
      <c r="F6">
        <v>90.98</v>
      </c>
    </row>
    <row r="9" spans="1:7" x14ac:dyDescent="0.25">
      <c r="A9" s="74" t="s">
        <v>83</v>
      </c>
      <c r="B9" s="74"/>
      <c r="C9" s="74"/>
      <c r="D9" s="74"/>
      <c r="E9" s="74"/>
      <c r="F9" s="74"/>
      <c r="G9" s="72"/>
    </row>
    <row r="10" spans="1:7" x14ac:dyDescent="0.25">
      <c r="A10" s="70" t="s">
        <v>77</v>
      </c>
      <c r="B10" t="s">
        <v>82</v>
      </c>
      <c r="C10" s="71" t="s">
        <v>81</v>
      </c>
      <c r="D10" t="s">
        <v>80</v>
      </c>
      <c r="E10" t="s">
        <v>79</v>
      </c>
      <c r="F10" t="s">
        <v>78</v>
      </c>
    </row>
    <row r="11" spans="1:7" x14ac:dyDescent="0.25">
      <c r="A11">
        <v>50</v>
      </c>
      <c r="B11">
        <v>10.24</v>
      </c>
      <c r="C11">
        <v>70.239999999999995</v>
      </c>
      <c r="D11">
        <v>38.29</v>
      </c>
      <c r="E11">
        <v>43.9</v>
      </c>
      <c r="F11">
        <v>36.340000000000003</v>
      </c>
    </row>
    <row r="12" spans="1:7" x14ac:dyDescent="0.25">
      <c r="A12">
        <v>100</v>
      </c>
      <c r="B12">
        <v>80.239999999999995</v>
      </c>
      <c r="C12">
        <v>92.92</v>
      </c>
      <c r="D12">
        <v>77.8</v>
      </c>
      <c r="E12">
        <v>77.8</v>
      </c>
      <c r="F12">
        <v>49.26</v>
      </c>
    </row>
    <row r="13" spans="1:7" x14ac:dyDescent="0.25">
      <c r="A13" s="71">
        <v>150</v>
      </c>
      <c r="B13">
        <v>63.17</v>
      </c>
      <c r="C13">
        <v>93.9</v>
      </c>
      <c r="D13">
        <v>95.12</v>
      </c>
      <c r="E13">
        <v>95.12</v>
      </c>
      <c r="F13">
        <v>64.14</v>
      </c>
    </row>
    <row r="14" spans="1:7" x14ac:dyDescent="0.25">
      <c r="A14">
        <v>250</v>
      </c>
      <c r="B14">
        <v>21.95</v>
      </c>
      <c r="C14">
        <v>67.8</v>
      </c>
      <c r="D14">
        <v>93.9</v>
      </c>
      <c r="E14">
        <v>93.9</v>
      </c>
      <c r="F14">
        <v>90.98</v>
      </c>
    </row>
  </sheetData>
  <mergeCells count="2">
    <mergeCell ref="A1:F1"/>
    <mergeCell ref="A9:F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D9" sqref="D9"/>
    </sheetView>
  </sheetViews>
  <sheetFormatPr defaultRowHeight="15" x14ac:dyDescent="0.25"/>
  <cols>
    <col min="1" max="1" width="22.5703125" customWidth="1"/>
    <col min="2" max="2" width="18.140625" customWidth="1"/>
    <col min="3" max="3" width="19.7109375" customWidth="1"/>
  </cols>
  <sheetData>
    <row r="1" spans="1:3" x14ac:dyDescent="0.25">
      <c r="A1" s="70" t="s">
        <v>61</v>
      </c>
      <c r="B1" s="70" t="s">
        <v>7</v>
      </c>
      <c r="C1" s="70" t="s">
        <v>8</v>
      </c>
    </row>
    <row r="2" spans="1:3" x14ac:dyDescent="0.25">
      <c r="A2">
        <v>1</v>
      </c>
      <c r="B2">
        <v>77.45</v>
      </c>
      <c r="C2">
        <v>56.01</v>
      </c>
    </row>
    <row r="3" spans="1:3" x14ac:dyDescent="0.25">
      <c r="A3">
        <v>2</v>
      </c>
      <c r="B3">
        <v>80.08</v>
      </c>
      <c r="C3">
        <v>62.65</v>
      </c>
    </row>
    <row r="4" spans="1:3" x14ac:dyDescent="0.25">
      <c r="A4">
        <v>3</v>
      </c>
      <c r="B4">
        <v>81.58</v>
      </c>
      <c r="C4">
        <v>82.98</v>
      </c>
    </row>
    <row r="5" spans="1:3" x14ac:dyDescent="0.25">
      <c r="A5">
        <v>4</v>
      </c>
      <c r="B5">
        <v>84.66</v>
      </c>
      <c r="C5">
        <v>87.55</v>
      </c>
    </row>
    <row r="6" spans="1:3" x14ac:dyDescent="0.25">
      <c r="A6" s="71">
        <v>5</v>
      </c>
      <c r="B6">
        <v>84.92</v>
      </c>
      <c r="C6">
        <v>96.26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17" sqref="B17"/>
    </sheetView>
  </sheetViews>
  <sheetFormatPr defaultRowHeight="15" x14ac:dyDescent="0.25"/>
  <cols>
    <col min="1" max="1" width="21.5703125" customWidth="1"/>
    <col min="2" max="2" width="17.85546875" customWidth="1"/>
    <col min="3" max="3" width="20.140625" customWidth="1"/>
  </cols>
  <sheetData>
    <row r="1" spans="1:3" x14ac:dyDescent="0.25">
      <c r="A1" s="70" t="s">
        <v>85</v>
      </c>
      <c r="B1" s="70" t="s">
        <v>7</v>
      </c>
      <c r="C1" s="70" t="s">
        <v>8</v>
      </c>
    </row>
    <row r="2" spans="1:3" x14ac:dyDescent="0.25">
      <c r="A2">
        <v>2</v>
      </c>
      <c r="B2">
        <v>86.39</v>
      </c>
      <c r="C2">
        <v>84.43</v>
      </c>
    </row>
    <row r="3" spans="1:3" x14ac:dyDescent="0.25">
      <c r="A3">
        <v>4</v>
      </c>
      <c r="B3">
        <v>91.31</v>
      </c>
      <c r="C3">
        <v>90.66</v>
      </c>
    </row>
    <row r="4" spans="1:3" x14ac:dyDescent="0.25">
      <c r="A4">
        <v>6</v>
      </c>
      <c r="B4">
        <v>92.09</v>
      </c>
      <c r="C4">
        <v>92.11</v>
      </c>
    </row>
    <row r="5" spans="1:3" x14ac:dyDescent="0.25">
      <c r="A5" s="71">
        <v>8</v>
      </c>
      <c r="B5">
        <v>94.78</v>
      </c>
      <c r="C5">
        <v>93.36</v>
      </c>
    </row>
    <row r="6" spans="1:3" x14ac:dyDescent="0.25">
      <c r="A6">
        <v>10</v>
      </c>
      <c r="B6">
        <v>92.05</v>
      </c>
      <c r="C6">
        <v>91.7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selection activeCell="A3" sqref="A3:F11"/>
    </sheetView>
  </sheetViews>
  <sheetFormatPr defaultRowHeight="15" x14ac:dyDescent="0.25"/>
  <cols>
    <col min="1" max="1" width="6.5703125" customWidth="1"/>
    <col min="2" max="2" width="14.85546875" customWidth="1"/>
    <col min="3" max="3" width="19.7109375" customWidth="1"/>
    <col min="4" max="4" width="16.7109375" customWidth="1"/>
    <col min="5" max="5" width="20" customWidth="1"/>
    <col min="6" max="6" width="22.85546875" customWidth="1"/>
    <col min="7" max="7" width="19" customWidth="1"/>
    <col min="8" max="8" width="15.85546875" customWidth="1"/>
    <col min="9" max="9" width="6.140625" customWidth="1"/>
    <col min="10" max="10" width="14" customWidth="1"/>
    <col min="11" max="11" width="10" customWidth="1"/>
    <col min="12" max="12" width="10.140625" customWidth="1"/>
  </cols>
  <sheetData>
    <row r="1" spans="1:12" ht="15.75" x14ac:dyDescent="0.25">
      <c r="A1" s="75" t="s">
        <v>42</v>
      </c>
      <c r="B1" s="75"/>
      <c r="C1" s="75"/>
      <c r="D1" s="46"/>
      <c r="E1" s="46"/>
      <c r="F1" s="46"/>
      <c r="G1" s="47">
        <v>0.33339999999999997</v>
      </c>
      <c r="H1" s="46"/>
      <c r="I1" s="46"/>
      <c r="J1" s="46"/>
      <c r="K1" s="46"/>
      <c r="L1" s="46"/>
    </row>
    <row r="2" spans="1:12" ht="15.75" x14ac:dyDescent="0.25">
      <c r="A2" s="75" t="s">
        <v>43</v>
      </c>
      <c r="B2" s="75"/>
      <c r="C2" s="75"/>
      <c r="D2" s="75"/>
      <c r="E2" s="48"/>
      <c r="F2" s="48"/>
      <c r="G2" s="47">
        <v>0.35110000000000002</v>
      </c>
      <c r="H2" s="46"/>
      <c r="I2" s="46"/>
      <c r="J2" s="46"/>
      <c r="K2" s="46"/>
      <c r="L2" s="46"/>
    </row>
    <row r="3" spans="1:12" s="1" customFormat="1" ht="15.75" x14ac:dyDescent="0.25">
      <c r="A3" s="49" t="s">
        <v>44</v>
      </c>
      <c r="B3" s="49" t="s">
        <v>45</v>
      </c>
      <c r="C3" s="49" t="s">
        <v>46</v>
      </c>
      <c r="D3" s="49" t="s">
        <v>2</v>
      </c>
      <c r="E3" s="49" t="s">
        <v>7</v>
      </c>
      <c r="F3" s="49" t="s">
        <v>8</v>
      </c>
      <c r="G3" s="47">
        <v>0.43540000000000001</v>
      </c>
    </row>
    <row r="4" spans="1:12" ht="15.75" x14ac:dyDescent="0.25">
      <c r="A4" s="49"/>
      <c r="B4" s="49">
        <v>0</v>
      </c>
      <c r="C4" s="49">
        <v>3.3357199999999998</v>
      </c>
      <c r="D4" s="49">
        <v>887</v>
      </c>
      <c r="E4" s="49"/>
      <c r="F4" s="49"/>
    </row>
    <row r="5" spans="1:12" ht="15.75" x14ac:dyDescent="0.25">
      <c r="A5" s="47">
        <v>1</v>
      </c>
      <c r="B5" s="47">
        <v>10</v>
      </c>
      <c r="C5" s="47">
        <v>2.3626</v>
      </c>
      <c r="D5" s="47">
        <v>607</v>
      </c>
      <c r="E5" s="50">
        <f>(($C$4-C5)/$C$4)*100</f>
        <v>29.172712337966011</v>
      </c>
      <c r="F5" s="50">
        <f>(($D$4-D5)/$D$4)*100</f>
        <v>31.567080045095828</v>
      </c>
    </row>
    <row r="6" spans="1:12" ht="15.75" x14ac:dyDescent="0.25">
      <c r="A6" s="47">
        <v>2</v>
      </c>
      <c r="B6" s="47">
        <v>20</v>
      </c>
      <c r="C6" s="47">
        <v>0.43569999999999998</v>
      </c>
      <c r="D6" s="47">
        <v>120</v>
      </c>
      <c r="E6" s="50">
        <f t="shared" ref="E6:E11" si="0">(($C$4-C6)/$C$4)*100</f>
        <v>86.938352139867845</v>
      </c>
      <c r="F6" s="50">
        <f t="shared" ref="F6:F11" si="1">(($D$4-D6)/$D$4)*100</f>
        <v>86.471251409244644</v>
      </c>
    </row>
    <row r="7" spans="1:12" ht="15.75" x14ac:dyDescent="0.25">
      <c r="A7" s="47">
        <v>3</v>
      </c>
      <c r="B7" s="47">
        <v>30</v>
      </c>
      <c r="C7" s="47">
        <v>0.33810000000000001</v>
      </c>
      <c r="D7" s="47">
        <v>60</v>
      </c>
      <c r="E7" s="50">
        <f t="shared" si="0"/>
        <v>89.864257191850641</v>
      </c>
      <c r="F7" s="50">
        <f t="shared" si="1"/>
        <v>93.235625704622322</v>
      </c>
    </row>
    <row r="8" spans="1:12" ht="15.75" x14ac:dyDescent="0.25">
      <c r="A8" s="47">
        <v>4</v>
      </c>
      <c r="B8" s="51">
        <v>40</v>
      </c>
      <c r="C8" s="51">
        <v>0.31490000000000001</v>
      </c>
      <c r="D8" s="51">
        <v>42</v>
      </c>
      <c r="E8" s="52">
        <f t="shared" si="0"/>
        <v>90.559759212403918</v>
      </c>
      <c r="F8" s="52">
        <f t="shared" si="1"/>
        <v>95.26493799323562</v>
      </c>
    </row>
    <row r="9" spans="1:12" ht="15.75" x14ac:dyDescent="0.25">
      <c r="A9" s="47">
        <v>5</v>
      </c>
      <c r="B9" s="47">
        <v>50</v>
      </c>
      <c r="C9" s="47">
        <v>0.33339999999999997</v>
      </c>
      <c r="D9" s="47">
        <v>34</v>
      </c>
      <c r="E9" s="50">
        <f t="shared" si="0"/>
        <v>90.005156308083414</v>
      </c>
      <c r="F9" s="50">
        <f t="shared" si="1"/>
        <v>96.166854565952647</v>
      </c>
    </row>
    <row r="10" spans="1:12" ht="15.75" x14ac:dyDescent="0.25">
      <c r="A10" s="47">
        <v>6</v>
      </c>
      <c r="B10" s="47">
        <v>60</v>
      </c>
      <c r="C10" s="47">
        <v>0.35110000000000002</v>
      </c>
      <c r="D10" s="47">
        <v>56</v>
      </c>
      <c r="E10" s="50">
        <f t="shared" si="0"/>
        <v>89.474536232057844</v>
      </c>
      <c r="F10" s="50">
        <f t="shared" si="1"/>
        <v>93.686583990980836</v>
      </c>
    </row>
    <row r="11" spans="1:12" ht="15.75" x14ac:dyDescent="0.25">
      <c r="A11" s="47">
        <v>7</v>
      </c>
      <c r="B11" s="47">
        <v>100</v>
      </c>
      <c r="C11" s="47">
        <v>0.43540000000000001</v>
      </c>
      <c r="D11" s="47">
        <v>57</v>
      </c>
      <c r="E11" s="50">
        <f t="shared" si="0"/>
        <v>86.947345700478451</v>
      </c>
      <c r="F11" s="50">
        <f t="shared" si="1"/>
        <v>93.573844419391207</v>
      </c>
    </row>
    <row r="14" spans="1:12" ht="15.75" x14ac:dyDescent="0.25">
      <c r="A14" s="49" t="s">
        <v>44</v>
      </c>
      <c r="B14" s="49" t="s">
        <v>45</v>
      </c>
      <c r="C14" s="49" t="s">
        <v>47</v>
      </c>
      <c r="D14" s="49" t="s">
        <v>48</v>
      </c>
      <c r="E14" s="49" t="s">
        <v>19</v>
      </c>
      <c r="F14" s="49" t="s">
        <v>49</v>
      </c>
      <c r="G14" s="49" t="s">
        <v>50</v>
      </c>
      <c r="H14" s="49" t="s">
        <v>51</v>
      </c>
    </row>
    <row r="15" spans="1:12" ht="15.75" x14ac:dyDescent="0.25">
      <c r="A15" s="47">
        <v>1</v>
      </c>
      <c r="B15" s="47">
        <v>10</v>
      </c>
      <c r="C15" s="47">
        <v>16.2</v>
      </c>
      <c r="D15" s="47">
        <v>11.9</v>
      </c>
      <c r="E15" s="47">
        <v>8.64</v>
      </c>
      <c r="F15" s="47">
        <v>2.1</v>
      </c>
      <c r="G15" s="47">
        <v>3.92</v>
      </c>
      <c r="H15" s="47">
        <v>4.5</v>
      </c>
    </row>
    <row r="16" spans="1:12" ht="15.75" x14ac:dyDescent="0.25">
      <c r="A16" s="47">
        <v>2</v>
      </c>
      <c r="B16" s="47">
        <v>20</v>
      </c>
      <c r="C16" s="47">
        <v>12.8</v>
      </c>
      <c r="D16" s="47">
        <v>1.4</v>
      </c>
      <c r="E16" s="47">
        <v>9.11</v>
      </c>
      <c r="F16" s="47">
        <v>2.9</v>
      </c>
      <c r="G16" s="47">
        <v>6.37</v>
      </c>
      <c r="H16" s="47">
        <v>7.23</v>
      </c>
    </row>
    <row r="17" spans="1:8" ht="15.75" x14ac:dyDescent="0.25">
      <c r="A17" s="47">
        <v>3</v>
      </c>
      <c r="B17" s="47">
        <v>30</v>
      </c>
      <c r="C17" s="47">
        <v>13</v>
      </c>
      <c r="D17" s="47">
        <v>0.8</v>
      </c>
      <c r="E17" s="47">
        <v>8.5</v>
      </c>
      <c r="F17" s="47">
        <v>4.5</v>
      </c>
      <c r="G17" s="47">
        <v>8.92</v>
      </c>
      <c r="H17" s="47">
        <v>10.1</v>
      </c>
    </row>
    <row r="18" spans="1:8" ht="15.75" x14ac:dyDescent="0.25">
      <c r="A18" s="47">
        <v>4</v>
      </c>
      <c r="B18" s="51">
        <v>40</v>
      </c>
      <c r="C18" s="51">
        <v>13.1</v>
      </c>
      <c r="D18" s="51">
        <v>0.7</v>
      </c>
      <c r="E18" s="51">
        <v>8.15</v>
      </c>
      <c r="F18" s="51">
        <v>4.9000000000000004</v>
      </c>
      <c r="G18" s="51">
        <v>10.199999999999999</v>
      </c>
      <c r="H18" s="51">
        <v>11.5</v>
      </c>
    </row>
    <row r="19" spans="1:8" ht="15.75" x14ac:dyDescent="0.25">
      <c r="A19" s="47">
        <v>5</v>
      </c>
      <c r="B19" s="47">
        <v>50</v>
      </c>
      <c r="C19" s="47">
        <v>13.3</v>
      </c>
      <c r="D19" s="47">
        <v>0.8</v>
      </c>
      <c r="E19" s="47">
        <v>8.59</v>
      </c>
      <c r="F19" s="47">
        <v>4.5</v>
      </c>
      <c r="G19" s="47">
        <v>12.5</v>
      </c>
      <c r="H19" s="47">
        <v>14.1</v>
      </c>
    </row>
    <row r="20" spans="1:8" ht="15.75" x14ac:dyDescent="0.25">
      <c r="A20" s="47">
        <v>6</v>
      </c>
      <c r="B20" s="47">
        <v>60</v>
      </c>
      <c r="C20" s="47">
        <v>13</v>
      </c>
      <c r="D20" s="47">
        <v>0.7</v>
      </c>
      <c r="E20" s="47">
        <v>7.26</v>
      </c>
      <c r="F20" s="47">
        <v>4.9000000000000004</v>
      </c>
      <c r="G20" s="47">
        <v>13.7</v>
      </c>
      <c r="H20" s="47">
        <v>15.5</v>
      </c>
    </row>
    <row r="21" spans="1:8" ht="15.75" x14ac:dyDescent="0.25">
      <c r="A21" s="47">
        <v>7</v>
      </c>
      <c r="B21" s="47">
        <v>100</v>
      </c>
      <c r="C21" s="47">
        <v>13</v>
      </c>
      <c r="D21" s="47">
        <v>1</v>
      </c>
      <c r="E21" s="47">
        <v>6.49</v>
      </c>
      <c r="F21" s="47">
        <v>5.2</v>
      </c>
      <c r="G21" s="47">
        <v>19.5</v>
      </c>
      <c r="H21" s="47">
        <v>22</v>
      </c>
    </row>
    <row r="22" spans="1:8" ht="15.75" x14ac:dyDescent="0.25">
      <c r="A22" s="49"/>
      <c r="B22" s="49">
        <v>0</v>
      </c>
      <c r="C22" s="49">
        <v>17.100000000000001</v>
      </c>
      <c r="D22" s="49">
        <v>7.4</v>
      </c>
      <c r="E22" s="49">
        <v>7.46</v>
      </c>
      <c r="F22" s="49">
        <v>8.6</v>
      </c>
      <c r="G22" s="49">
        <v>20.7</v>
      </c>
      <c r="H22" s="49">
        <v>23.5</v>
      </c>
    </row>
  </sheetData>
  <mergeCells count="2">
    <mergeCell ref="A1:C1"/>
    <mergeCell ref="A2:D2"/>
  </mergeCells>
  <pageMargins left="0.7" right="0.7" top="0.75" bottom="0.75" header="0.3" footer="0.3"/>
  <pageSetup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opLeftCell="A3" workbookViewId="0">
      <selection activeCell="A11" sqref="A11:G19"/>
    </sheetView>
  </sheetViews>
  <sheetFormatPr defaultRowHeight="15" x14ac:dyDescent="0.25"/>
  <cols>
    <col min="1" max="1" width="9.42578125" customWidth="1"/>
    <col min="2" max="2" width="13" customWidth="1"/>
    <col min="3" max="3" width="10" customWidth="1"/>
    <col min="4" max="4" width="10.28515625" customWidth="1"/>
    <col min="5" max="5" width="15" customWidth="1"/>
    <col min="6" max="6" width="14.7109375" customWidth="1"/>
    <col min="7" max="7" width="21.85546875" customWidth="1"/>
    <col min="8" max="8" width="12.28515625" customWidth="1"/>
  </cols>
  <sheetData>
    <row r="1" spans="1:8" s="54" customFormat="1" ht="15.75" x14ac:dyDescent="0.25">
      <c r="A1" s="76" t="s">
        <v>52</v>
      </c>
      <c r="B1" s="77"/>
      <c r="C1" s="77"/>
      <c r="D1" s="78"/>
      <c r="E1" s="53"/>
      <c r="F1" s="79" t="s">
        <v>53</v>
      </c>
      <c r="G1" s="79"/>
      <c r="H1" s="79"/>
    </row>
    <row r="2" spans="1:8" s="1" customFormat="1" ht="15" customHeight="1" x14ac:dyDescent="0.25">
      <c r="A2" s="55" t="s">
        <v>54</v>
      </c>
      <c r="B2" s="55" t="s">
        <v>20</v>
      </c>
      <c r="C2" s="55" t="s">
        <v>55</v>
      </c>
      <c r="D2" s="55" t="s">
        <v>22</v>
      </c>
      <c r="E2" s="56"/>
      <c r="F2" s="55" t="s">
        <v>20</v>
      </c>
      <c r="G2" s="55" t="s">
        <v>55</v>
      </c>
      <c r="H2" s="55" t="s">
        <v>22</v>
      </c>
    </row>
    <row r="3" spans="1:8" ht="15" customHeight="1" x14ac:dyDescent="0.25">
      <c r="A3" s="57">
        <v>4</v>
      </c>
      <c r="B3" s="57">
        <v>1.96</v>
      </c>
      <c r="C3" s="57">
        <v>2.23</v>
      </c>
      <c r="D3" s="57">
        <v>0.9</v>
      </c>
      <c r="E3" s="56"/>
      <c r="F3" s="57">
        <v>10.7</v>
      </c>
      <c r="G3" s="57">
        <v>12.1</v>
      </c>
      <c r="H3" s="57">
        <v>1.2</v>
      </c>
    </row>
    <row r="4" spans="1:8" ht="15" customHeight="1" x14ac:dyDescent="0.25">
      <c r="A4" s="57">
        <v>5</v>
      </c>
      <c r="B4" s="57">
        <v>1.92</v>
      </c>
      <c r="C4" s="57">
        <v>2.1800000000000002</v>
      </c>
      <c r="D4" s="57">
        <v>1</v>
      </c>
      <c r="E4" s="56"/>
      <c r="F4" s="57">
        <v>10.4</v>
      </c>
      <c r="G4" s="57">
        <v>11.8</v>
      </c>
      <c r="H4" s="57">
        <v>1.3</v>
      </c>
    </row>
    <row r="5" spans="1:8" ht="15" customHeight="1" x14ac:dyDescent="0.25">
      <c r="A5" s="57">
        <v>6</v>
      </c>
      <c r="B5" s="57">
        <v>1.87</v>
      </c>
      <c r="C5" s="57">
        <v>2.13</v>
      </c>
      <c r="D5" s="57">
        <v>1.1000000000000001</v>
      </c>
      <c r="E5" s="56"/>
      <c r="F5" s="57">
        <v>11.1</v>
      </c>
      <c r="G5" s="57">
        <v>12.6</v>
      </c>
      <c r="H5" s="57">
        <v>1.5</v>
      </c>
    </row>
    <row r="6" spans="1:8" ht="15" customHeight="1" x14ac:dyDescent="0.25">
      <c r="A6" s="58">
        <v>7</v>
      </c>
      <c r="B6" s="58">
        <v>1.33</v>
      </c>
      <c r="C6" s="58">
        <v>1.51</v>
      </c>
      <c r="D6" s="58">
        <v>1.1000000000000001</v>
      </c>
      <c r="E6" s="59"/>
      <c r="F6" s="58">
        <v>10.5</v>
      </c>
      <c r="G6" s="58">
        <v>11.9</v>
      </c>
      <c r="H6" s="58">
        <v>1.7</v>
      </c>
    </row>
    <row r="7" spans="1:8" ht="15" customHeight="1" x14ac:dyDescent="0.25">
      <c r="A7" s="58">
        <v>8</v>
      </c>
      <c r="B7" s="58">
        <v>2.67</v>
      </c>
      <c r="C7" s="58">
        <v>3.05</v>
      </c>
      <c r="D7" s="58">
        <v>1.6</v>
      </c>
      <c r="E7" s="59"/>
      <c r="F7" s="60">
        <v>10.9</v>
      </c>
      <c r="G7" s="60">
        <v>12.3</v>
      </c>
      <c r="H7" s="60">
        <v>1.9</v>
      </c>
    </row>
    <row r="8" spans="1:8" ht="15" customHeight="1" x14ac:dyDescent="0.25">
      <c r="A8" s="57">
        <v>9</v>
      </c>
      <c r="B8" s="57">
        <v>2.41</v>
      </c>
      <c r="C8" s="57">
        <v>2.75</v>
      </c>
      <c r="D8" s="57">
        <v>1.5</v>
      </c>
      <c r="E8" s="56"/>
      <c r="F8" s="57">
        <v>10.7</v>
      </c>
      <c r="G8" s="57">
        <v>11.9</v>
      </c>
      <c r="H8" s="57">
        <v>2</v>
      </c>
    </row>
    <row r="9" spans="1:8" ht="15" customHeight="1" x14ac:dyDescent="0.25">
      <c r="A9" s="57">
        <v>10</v>
      </c>
      <c r="B9" s="57">
        <v>2.4900000000000002</v>
      </c>
      <c r="C9" s="57">
        <v>2.85</v>
      </c>
      <c r="D9" s="57">
        <v>1.7</v>
      </c>
      <c r="E9" s="61"/>
      <c r="F9" s="57">
        <v>10.7</v>
      </c>
      <c r="G9" s="57">
        <v>12.1</v>
      </c>
      <c r="H9" s="57">
        <v>2.1</v>
      </c>
    </row>
    <row r="11" spans="1:8" x14ac:dyDescent="0.25">
      <c r="A11" s="31"/>
      <c r="B11" s="34" t="s">
        <v>52</v>
      </c>
      <c r="C11" s="35"/>
      <c r="D11" s="34" t="s">
        <v>53</v>
      </c>
      <c r="E11" s="35"/>
    </row>
    <row r="12" spans="1:8" ht="15.75" x14ac:dyDescent="0.25">
      <c r="A12" s="55" t="s">
        <v>54</v>
      </c>
      <c r="B12" s="55" t="s">
        <v>56</v>
      </c>
      <c r="C12" s="55" t="s">
        <v>57</v>
      </c>
      <c r="D12" s="55" t="s">
        <v>56</v>
      </c>
      <c r="E12" s="55" t="s">
        <v>57</v>
      </c>
      <c r="F12" s="49" t="s">
        <v>7</v>
      </c>
      <c r="G12" s="49" t="s">
        <v>8</v>
      </c>
    </row>
    <row r="13" spans="1:8" x14ac:dyDescent="0.25">
      <c r="A13" s="57">
        <v>4</v>
      </c>
      <c r="B13" s="57">
        <v>1.869</v>
      </c>
      <c r="C13" s="57">
        <v>769</v>
      </c>
      <c r="D13" s="57">
        <v>0.57199999999999995</v>
      </c>
      <c r="E13" s="57">
        <v>231</v>
      </c>
      <c r="F13" s="62">
        <f>((B13-D13)/B13)*100</f>
        <v>69.395398608881763</v>
      </c>
      <c r="G13" s="62">
        <f>((C13-E13)/C13)*100</f>
        <v>69.960988296488949</v>
      </c>
    </row>
    <row r="14" spans="1:8" x14ac:dyDescent="0.25">
      <c r="A14" s="57">
        <v>5</v>
      </c>
      <c r="B14" s="57">
        <v>1.2331000000000001</v>
      </c>
      <c r="C14" s="57">
        <v>668</v>
      </c>
      <c r="D14" s="57">
        <v>0.33100000000000002</v>
      </c>
      <c r="E14" s="57">
        <v>101</v>
      </c>
      <c r="F14" s="62">
        <f t="shared" ref="F14:G19" si="0">((B14-D14)/B14)*100</f>
        <v>73.157083772605631</v>
      </c>
      <c r="G14" s="62">
        <f t="shared" si="0"/>
        <v>84.880239520958085</v>
      </c>
    </row>
    <row r="15" spans="1:8" x14ac:dyDescent="0.25">
      <c r="A15" s="57">
        <v>6</v>
      </c>
      <c r="B15" s="57">
        <v>1.2094</v>
      </c>
      <c r="C15" s="57">
        <v>464</v>
      </c>
      <c r="D15" s="57">
        <v>0.23100000000000001</v>
      </c>
      <c r="E15" s="57">
        <v>55</v>
      </c>
      <c r="F15" s="62">
        <f t="shared" si="0"/>
        <v>80.899619646105521</v>
      </c>
      <c r="G15" s="62">
        <f t="shared" si="0"/>
        <v>88.146551724137936</v>
      </c>
    </row>
    <row r="16" spans="1:8" x14ac:dyDescent="0.25">
      <c r="A16" s="58">
        <v>7</v>
      </c>
      <c r="B16" s="58">
        <v>1.2756000000000001</v>
      </c>
      <c r="C16" s="58">
        <v>452</v>
      </c>
      <c r="D16" s="58">
        <v>0.19</v>
      </c>
      <c r="E16" s="58">
        <v>28</v>
      </c>
      <c r="F16" s="63">
        <f t="shared" si="0"/>
        <v>85.105048604578243</v>
      </c>
      <c r="G16" s="63">
        <f t="shared" si="0"/>
        <v>93.805309734513273</v>
      </c>
    </row>
    <row r="17" spans="1:7" x14ac:dyDescent="0.25">
      <c r="A17" s="58">
        <v>8</v>
      </c>
      <c r="B17" s="58">
        <v>1.2962</v>
      </c>
      <c r="C17" s="58">
        <v>495</v>
      </c>
      <c r="D17" s="60">
        <v>0.16</v>
      </c>
      <c r="E17" s="60">
        <v>48</v>
      </c>
      <c r="F17" s="63">
        <f t="shared" si="0"/>
        <v>87.6562258910662</v>
      </c>
      <c r="G17" s="63">
        <f t="shared" si="0"/>
        <v>90.303030303030312</v>
      </c>
    </row>
    <row r="18" spans="1:7" x14ac:dyDescent="0.25">
      <c r="A18" s="57">
        <v>9</v>
      </c>
      <c r="B18" s="57">
        <v>1.1194999999999999</v>
      </c>
      <c r="C18" s="57">
        <v>436</v>
      </c>
      <c r="D18" s="57">
        <v>0.50600000000000001</v>
      </c>
      <c r="E18" s="57">
        <v>89</v>
      </c>
      <c r="F18" s="62">
        <f t="shared" si="0"/>
        <v>54.801250558284941</v>
      </c>
      <c r="G18" s="62">
        <f t="shared" si="0"/>
        <v>79.587155963302749</v>
      </c>
    </row>
    <row r="19" spans="1:7" x14ac:dyDescent="0.25">
      <c r="A19" s="57">
        <v>10</v>
      </c>
      <c r="B19" s="57">
        <v>0.6986</v>
      </c>
      <c r="C19" s="57">
        <v>458</v>
      </c>
      <c r="D19" s="57">
        <v>0.53400000000000003</v>
      </c>
      <c r="E19" s="57">
        <v>110</v>
      </c>
      <c r="F19" s="62">
        <f t="shared" si="0"/>
        <v>23.561408531348409</v>
      </c>
      <c r="G19" s="62">
        <f t="shared" si="0"/>
        <v>75.982532751091696</v>
      </c>
    </row>
  </sheetData>
  <mergeCells count="2">
    <mergeCell ref="A1:D1"/>
    <mergeCell ref="F1:H1"/>
  </mergeCells>
  <pageMargins left="0.7" right="0.7" top="0.75" bottom="0.75" header="0.3" footer="0.3"/>
  <pageSetup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7"/>
  <sheetViews>
    <sheetView topLeftCell="A13" workbookViewId="0">
      <selection activeCell="S21" sqref="S21"/>
    </sheetView>
  </sheetViews>
  <sheetFormatPr defaultRowHeight="15" x14ac:dyDescent="0.25"/>
  <cols>
    <col min="1" max="1" width="17.28515625" customWidth="1"/>
    <col min="6" max="8" width="12.42578125" customWidth="1"/>
  </cols>
  <sheetData>
    <row r="2" spans="1:17" ht="15.75" x14ac:dyDescent="0.25">
      <c r="A2" s="79" t="s">
        <v>58</v>
      </c>
      <c r="B2" s="79"/>
      <c r="C2" s="79"/>
      <c r="D2" s="79"/>
      <c r="E2" s="79"/>
      <c r="F2" s="79"/>
      <c r="G2" s="79"/>
      <c r="H2" s="79"/>
      <c r="J2" s="79" t="s">
        <v>59</v>
      </c>
      <c r="K2" s="79"/>
      <c r="L2" s="79"/>
      <c r="M2" s="79"/>
      <c r="N2" s="79"/>
      <c r="O2" s="79"/>
    </row>
    <row r="3" spans="1:17" ht="15.75" x14ac:dyDescent="0.25">
      <c r="A3" s="49" t="s">
        <v>60</v>
      </c>
      <c r="B3" s="49" t="s">
        <v>20</v>
      </c>
      <c r="C3" s="49" t="s">
        <v>55</v>
      </c>
      <c r="D3" s="49" t="s">
        <v>22</v>
      </c>
      <c r="E3" s="49" t="s">
        <v>56</v>
      </c>
      <c r="F3" s="49" t="s">
        <v>57</v>
      </c>
      <c r="G3" s="49" t="s">
        <v>7</v>
      </c>
      <c r="H3" s="49" t="s">
        <v>8</v>
      </c>
      <c r="J3" s="49" t="s">
        <v>61</v>
      </c>
      <c r="K3" s="49" t="s">
        <v>20</v>
      </c>
      <c r="L3" s="49" t="s">
        <v>55</v>
      </c>
      <c r="M3" s="49" t="s">
        <v>22</v>
      </c>
      <c r="N3" s="49" t="s">
        <v>62</v>
      </c>
      <c r="O3" s="49" t="s">
        <v>57</v>
      </c>
      <c r="P3" s="49" t="s">
        <v>7</v>
      </c>
      <c r="Q3" s="49" t="s">
        <v>8</v>
      </c>
    </row>
    <row r="4" spans="1:17" ht="15.75" x14ac:dyDescent="0.25">
      <c r="A4" s="47">
        <v>50</v>
      </c>
      <c r="B4" s="47">
        <v>10.199999999999999</v>
      </c>
      <c r="C4" s="47">
        <v>11.6</v>
      </c>
      <c r="D4" s="47">
        <v>1.7</v>
      </c>
      <c r="E4" s="47">
        <v>2.16</v>
      </c>
      <c r="F4" s="47">
        <v>266</v>
      </c>
      <c r="G4" s="50">
        <f>((3.3472-E4)/3.3472)*100</f>
        <v>35.468451242829822</v>
      </c>
      <c r="H4" s="64">
        <f>((607-F4)/607)*100</f>
        <v>56.177924217462937</v>
      </c>
      <c r="J4" s="47">
        <v>2</v>
      </c>
      <c r="K4" s="47">
        <v>10.7</v>
      </c>
      <c r="L4" s="47">
        <v>12.1</v>
      </c>
      <c r="M4" s="47">
        <v>2.1</v>
      </c>
      <c r="N4" s="47">
        <v>0.11899999999999999</v>
      </c>
      <c r="O4" s="47">
        <v>266</v>
      </c>
      <c r="P4" s="65">
        <f>((3.3472-N4)/3.3472)*100</f>
        <v>96.444789674952204</v>
      </c>
      <c r="Q4" s="65">
        <f>((648-O4)/648)*100</f>
        <v>58.950617283950614</v>
      </c>
    </row>
    <row r="5" spans="1:17" ht="15.75" x14ac:dyDescent="0.25">
      <c r="A5" s="47">
        <v>100</v>
      </c>
      <c r="B5" s="47">
        <v>10.7</v>
      </c>
      <c r="C5" s="47">
        <v>12.1</v>
      </c>
      <c r="D5" s="47">
        <v>1.8</v>
      </c>
      <c r="E5" s="47">
        <v>2.093</v>
      </c>
      <c r="F5" s="47">
        <v>245</v>
      </c>
      <c r="G5" s="50">
        <f t="shared" ref="G5:G9" si="0">((3.3472-E5)/3.3472)*100</f>
        <v>37.470124282982795</v>
      </c>
      <c r="H5" s="64">
        <f t="shared" ref="H5:H9" si="1">((607-F5)/607)*100</f>
        <v>59.637561779242176</v>
      </c>
      <c r="J5" s="47">
        <v>4</v>
      </c>
      <c r="K5" s="47">
        <v>10.8</v>
      </c>
      <c r="L5" s="47">
        <v>12.2</v>
      </c>
      <c r="M5" s="47">
        <v>2.1</v>
      </c>
      <c r="N5" s="47">
        <v>0.11899999999999999</v>
      </c>
      <c r="O5" s="47">
        <v>245</v>
      </c>
      <c r="P5" s="65">
        <f t="shared" ref="P5:P8" si="2">((3.3472-N5)/3.3472)*100</f>
        <v>96.444789674952204</v>
      </c>
      <c r="Q5" s="65">
        <f t="shared" ref="Q5:Q8" si="3">((648-O5)/648)*100</f>
        <v>62.191358024691354</v>
      </c>
    </row>
    <row r="6" spans="1:17" ht="15.75" x14ac:dyDescent="0.25">
      <c r="A6" s="47">
        <v>150</v>
      </c>
      <c r="B6" s="47">
        <v>10.7</v>
      </c>
      <c r="C6" s="47">
        <v>12.2</v>
      </c>
      <c r="D6" s="47">
        <v>1.8</v>
      </c>
      <c r="E6" s="47">
        <v>2.08</v>
      </c>
      <c r="F6" s="47">
        <v>223</v>
      </c>
      <c r="G6" s="50">
        <f t="shared" si="0"/>
        <v>37.858508604206499</v>
      </c>
      <c r="H6" s="64">
        <f t="shared" si="1"/>
        <v>63.261943986820427</v>
      </c>
      <c r="J6" s="47">
        <v>6</v>
      </c>
      <c r="K6" s="47">
        <v>10.8</v>
      </c>
      <c r="L6" s="47">
        <v>12.3</v>
      </c>
      <c r="M6" s="47">
        <v>2.2999999999999998</v>
      </c>
      <c r="N6" s="47">
        <v>0.11799999999999999</v>
      </c>
      <c r="O6" s="47">
        <v>223</v>
      </c>
      <c r="P6" s="65">
        <f t="shared" si="2"/>
        <v>96.47466539196941</v>
      </c>
      <c r="Q6" s="65">
        <f t="shared" si="3"/>
        <v>65.586419753086417</v>
      </c>
    </row>
    <row r="7" spans="1:17" ht="15.75" x14ac:dyDescent="0.25">
      <c r="A7" s="47">
        <v>200</v>
      </c>
      <c r="B7" s="47">
        <v>10.5</v>
      </c>
      <c r="C7" s="47">
        <v>11.9</v>
      </c>
      <c r="D7" s="47">
        <v>1.9</v>
      </c>
      <c r="E7" s="47">
        <v>0.75</v>
      </c>
      <c r="F7" s="47">
        <v>214</v>
      </c>
      <c r="G7" s="50">
        <f t="shared" si="0"/>
        <v>77.593212237093695</v>
      </c>
      <c r="H7" s="64">
        <f t="shared" si="1"/>
        <v>64.744645799011536</v>
      </c>
      <c r="J7" s="47">
        <v>8</v>
      </c>
      <c r="K7" s="47">
        <v>10.8</v>
      </c>
      <c r="L7" s="47">
        <v>11.9</v>
      </c>
      <c r="M7" s="47">
        <v>2.4</v>
      </c>
      <c r="N7" s="47">
        <v>0.11700000000000001</v>
      </c>
      <c r="O7" s="47">
        <v>196</v>
      </c>
      <c r="P7" s="65">
        <f t="shared" si="2"/>
        <v>96.504541108986615</v>
      </c>
      <c r="Q7" s="65">
        <f t="shared" si="3"/>
        <v>69.753086419753089</v>
      </c>
    </row>
    <row r="8" spans="1:17" ht="15.75" x14ac:dyDescent="0.25">
      <c r="A8" s="47">
        <v>250</v>
      </c>
      <c r="B8" s="47">
        <v>10.8</v>
      </c>
      <c r="C8" s="47">
        <v>12.3</v>
      </c>
      <c r="D8" s="47">
        <v>1.9</v>
      </c>
      <c r="E8" s="47">
        <v>0.69099999999999995</v>
      </c>
      <c r="F8" s="47">
        <v>196</v>
      </c>
      <c r="G8" s="50">
        <f t="shared" si="0"/>
        <v>79.35587954110899</v>
      </c>
      <c r="H8" s="64">
        <f t="shared" si="1"/>
        <v>67.710049423393741</v>
      </c>
      <c r="J8" s="47">
        <v>10</v>
      </c>
      <c r="K8" s="47">
        <v>10.5</v>
      </c>
      <c r="L8" s="47">
        <v>12.3</v>
      </c>
      <c r="M8" s="47">
        <v>2.4</v>
      </c>
      <c r="N8" s="47">
        <v>0.11700000000000001</v>
      </c>
      <c r="O8" s="47">
        <v>191</v>
      </c>
      <c r="P8" s="65">
        <f t="shared" si="2"/>
        <v>96.504541108986615</v>
      </c>
      <c r="Q8" s="65">
        <f t="shared" si="3"/>
        <v>70.524691358024697</v>
      </c>
    </row>
    <row r="9" spans="1:17" ht="15.75" x14ac:dyDescent="0.25">
      <c r="A9" s="47">
        <v>300</v>
      </c>
      <c r="B9" s="47">
        <v>10.9</v>
      </c>
      <c r="C9" s="47">
        <v>12.5</v>
      </c>
      <c r="D9" s="47">
        <v>1.9</v>
      </c>
      <c r="E9" s="47">
        <v>0.67400000000000004</v>
      </c>
      <c r="F9" s="47">
        <v>191</v>
      </c>
      <c r="G9" s="50">
        <f t="shared" si="0"/>
        <v>79.863766730401537</v>
      </c>
      <c r="H9" s="64">
        <f t="shared" si="1"/>
        <v>68.533772652388805</v>
      </c>
      <c r="J9" s="49" t="s">
        <v>6</v>
      </c>
      <c r="K9" s="49">
        <v>20.3</v>
      </c>
      <c r="L9" s="49">
        <v>23.2</v>
      </c>
      <c r="M9" s="49">
        <v>8.1</v>
      </c>
      <c r="N9" s="49">
        <v>3.3472</v>
      </c>
      <c r="O9" s="49">
        <v>648</v>
      </c>
    </row>
    <row r="10" spans="1:17" ht="15.75" x14ac:dyDescent="0.25">
      <c r="A10" s="49" t="s">
        <v>6</v>
      </c>
      <c r="B10" s="49">
        <v>20.7</v>
      </c>
      <c r="C10" s="49">
        <v>23.5</v>
      </c>
      <c r="D10" s="49">
        <v>8.6</v>
      </c>
      <c r="E10" s="49">
        <v>3.3472</v>
      </c>
      <c r="F10" s="49">
        <v>607</v>
      </c>
      <c r="G10" s="49"/>
      <c r="H10" s="49"/>
    </row>
    <row r="12" spans="1:17" ht="15.75" x14ac:dyDescent="0.25">
      <c r="H12" s="66"/>
      <c r="I12" s="67"/>
    </row>
    <row r="13" spans="1:17" ht="15.75" x14ac:dyDescent="0.25">
      <c r="A13" t="s">
        <v>63</v>
      </c>
      <c r="H13" s="66"/>
      <c r="I13" s="67"/>
    </row>
    <row r="14" spans="1:17" ht="15.75" x14ac:dyDescent="0.25">
      <c r="H14" s="66"/>
      <c r="I14" s="67"/>
    </row>
    <row r="15" spans="1:17" ht="15.75" x14ac:dyDescent="0.25">
      <c r="H15" s="66"/>
      <c r="I15" s="67"/>
    </row>
    <row r="16" spans="1:17" ht="15.75" x14ac:dyDescent="0.25">
      <c r="H16" s="66"/>
      <c r="I16" s="67"/>
    </row>
    <row r="17" spans="8:9" ht="15.75" x14ac:dyDescent="0.25">
      <c r="H17" s="66"/>
      <c r="I17" s="67"/>
    </row>
  </sheetData>
  <mergeCells count="2">
    <mergeCell ref="A2:H2"/>
    <mergeCell ref="J2:O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workbookViewId="0">
      <selection activeCell="S22" sqref="S22"/>
    </sheetView>
  </sheetViews>
  <sheetFormatPr defaultRowHeight="15" x14ac:dyDescent="0.25"/>
  <sheetData>
    <row r="1" spans="1:17" ht="15.75" x14ac:dyDescent="0.2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</row>
    <row r="2" spans="1:17" ht="15.75" x14ac:dyDescent="0.25">
      <c r="A2" s="76" t="s">
        <v>64</v>
      </c>
      <c r="B2" s="77"/>
      <c r="C2" s="77"/>
      <c r="D2" s="77"/>
      <c r="E2" s="77"/>
      <c r="F2" s="77"/>
      <c r="G2" s="77"/>
      <c r="H2" s="78"/>
      <c r="I2" s="68"/>
      <c r="J2" s="76" t="s">
        <v>65</v>
      </c>
      <c r="K2" s="77"/>
      <c r="L2" s="77"/>
      <c r="M2" s="77"/>
      <c r="N2" s="77"/>
      <c r="O2" s="77"/>
      <c r="P2" s="77"/>
      <c r="Q2" s="78"/>
    </row>
    <row r="3" spans="1:17" ht="15.75" x14ac:dyDescent="0.25">
      <c r="A3" s="49" t="s">
        <v>60</v>
      </c>
      <c r="B3" s="49" t="s">
        <v>20</v>
      </c>
      <c r="C3" s="49" t="s">
        <v>55</v>
      </c>
      <c r="D3" s="49" t="s">
        <v>22</v>
      </c>
      <c r="E3" s="49" t="s">
        <v>56</v>
      </c>
      <c r="F3" s="49" t="s">
        <v>57</v>
      </c>
      <c r="G3" s="49" t="s">
        <v>7</v>
      </c>
      <c r="H3" s="49" t="s">
        <v>8</v>
      </c>
      <c r="I3" s="68"/>
      <c r="J3" s="49" t="s">
        <v>61</v>
      </c>
      <c r="K3" s="49" t="s">
        <v>20</v>
      </c>
      <c r="L3" s="49" t="s">
        <v>55</v>
      </c>
      <c r="M3" s="49" t="s">
        <v>22</v>
      </c>
      <c r="N3" s="49" t="s">
        <v>62</v>
      </c>
      <c r="O3" s="49" t="s">
        <v>57</v>
      </c>
      <c r="P3" s="49" t="s">
        <v>7</v>
      </c>
      <c r="Q3" s="49" t="s">
        <v>8</v>
      </c>
    </row>
    <row r="4" spans="1:17" ht="15.75" x14ac:dyDescent="0.25">
      <c r="A4" s="47">
        <v>20</v>
      </c>
      <c r="B4" s="47">
        <v>10.7</v>
      </c>
      <c r="C4" s="47">
        <v>11.9</v>
      </c>
      <c r="D4" s="47">
        <v>2.8</v>
      </c>
      <c r="E4" s="47">
        <v>0.39</v>
      </c>
      <c r="F4" s="47">
        <v>37</v>
      </c>
      <c r="G4" s="50">
        <f>(($E$9-E4)/$E$9)*100</f>
        <v>88.348470363288712</v>
      </c>
      <c r="H4" s="64">
        <f>(($F$9-F4)/$F$9)*100</f>
        <v>95.020188425302834</v>
      </c>
      <c r="I4" s="68"/>
      <c r="J4" s="47">
        <v>10</v>
      </c>
      <c r="K4" s="47">
        <v>10.9</v>
      </c>
      <c r="L4" s="47">
        <v>12.1</v>
      </c>
      <c r="M4" s="47">
        <v>2.9</v>
      </c>
      <c r="N4" s="47">
        <v>0.40100000000000002</v>
      </c>
      <c r="O4" s="47">
        <v>54</v>
      </c>
      <c r="P4" s="50">
        <f>((3.3472-N4)/3.3472)*100</f>
        <v>88.019837476099426</v>
      </c>
      <c r="Q4" s="50">
        <f>((648-O4)/648)*100</f>
        <v>91.666666666666657</v>
      </c>
    </row>
    <row r="5" spans="1:17" ht="15.75" x14ac:dyDescent="0.25">
      <c r="A5" s="47">
        <v>40</v>
      </c>
      <c r="B5" s="47">
        <v>10.5</v>
      </c>
      <c r="C5" s="47">
        <v>11.8</v>
      </c>
      <c r="D5" s="47">
        <v>2.9</v>
      </c>
      <c r="E5" s="47">
        <v>0.39600000000000002</v>
      </c>
      <c r="F5" s="47">
        <v>45</v>
      </c>
      <c r="G5" s="50">
        <f t="shared" ref="G5:G8" si="0">(($E$9-E5)/$E$9)*100</f>
        <v>88.16921606118548</v>
      </c>
      <c r="H5" s="64">
        <f t="shared" ref="H5:H8" si="1">(($F$9-F5)/$F$9)*100</f>
        <v>93.943472409152079</v>
      </c>
      <c r="I5" s="68"/>
      <c r="J5" s="47">
        <v>20</v>
      </c>
      <c r="K5" s="47">
        <v>10.8</v>
      </c>
      <c r="L5" s="47">
        <v>11.8</v>
      </c>
      <c r="M5" s="47">
        <v>2.9</v>
      </c>
      <c r="N5" s="47">
        <v>0.39800000000000002</v>
      </c>
      <c r="O5" s="47">
        <v>40</v>
      </c>
      <c r="P5" s="50">
        <f t="shared" ref="P5:P9" si="2">((3.3472-N5)/3.3472)*100</f>
        <v>88.109464627151041</v>
      </c>
      <c r="Q5" s="50">
        <f t="shared" ref="Q5:Q9" si="3">((648-O5)/648)*100</f>
        <v>93.827160493827151</v>
      </c>
    </row>
    <row r="6" spans="1:17" ht="15.75" x14ac:dyDescent="0.25">
      <c r="A6" s="47">
        <v>60</v>
      </c>
      <c r="B6" s="47">
        <v>10.6</v>
      </c>
      <c r="C6" s="47">
        <v>11.9</v>
      </c>
      <c r="D6" s="47">
        <v>2.9</v>
      </c>
      <c r="E6" s="47">
        <v>0.40100000000000002</v>
      </c>
      <c r="F6" s="47">
        <v>79</v>
      </c>
      <c r="G6" s="50">
        <f t="shared" si="0"/>
        <v>88.019837476099426</v>
      </c>
      <c r="H6" s="64">
        <f t="shared" si="1"/>
        <v>89.367429340511435</v>
      </c>
      <c r="I6" s="68"/>
      <c r="J6" s="47">
        <v>30</v>
      </c>
      <c r="K6" s="47">
        <v>9.1999999999999993</v>
      </c>
      <c r="L6" s="47">
        <v>11.6</v>
      </c>
      <c r="M6" s="47">
        <v>2.8</v>
      </c>
      <c r="N6" s="47">
        <v>0.40500000000000003</v>
      </c>
      <c r="O6" s="47">
        <v>58</v>
      </c>
      <c r="P6" s="50">
        <f t="shared" si="2"/>
        <v>87.90033460803059</v>
      </c>
      <c r="Q6" s="50">
        <f t="shared" si="3"/>
        <v>91.049382716049394</v>
      </c>
    </row>
    <row r="7" spans="1:17" ht="15.75" x14ac:dyDescent="0.25">
      <c r="A7" s="47">
        <v>80</v>
      </c>
      <c r="B7" s="47">
        <v>11.2</v>
      </c>
      <c r="C7" s="47">
        <v>12.6</v>
      </c>
      <c r="D7" s="47">
        <v>2.9</v>
      </c>
      <c r="E7" s="47">
        <v>0.52600000000000002</v>
      </c>
      <c r="F7" s="47">
        <v>82</v>
      </c>
      <c r="G7" s="50">
        <f t="shared" si="0"/>
        <v>84.285372848948384</v>
      </c>
      <c r="H7" s="64">
        <f t="shared" si="1"/>
        <v>88.963660834454913</v>
      </c>
      <c r="I7" s="68"/>
      <c r="J7" s="47">
        <v>40</v>
      </c>
      <c r="K7" s="47">
        <v>9.3000000000000007</v>
      </c>
      <c r="L7" s="47">
        <v>11.6</v>
      </c>
      <c r="M7" s="47">
        <v>2.5</v>
      </c>
      <c r="N7" s="47">
        <v>0.40799999999999997</v>
      </c>
      <c r="O7" s="47">
        <v>73</v>
      </c>
      <c r="P7" s="50">
        <f t="shared" si="2"/>
        <v>87.81070745697896</v>
      </c>
      <c r="Q7" s="50">
        <f t="shared" si="3"/>
        <v>88.73456790123457</v>
      </c>
    </row>
    <row r="8" spans="1:17" ht="15.75" x14ac:dyDescent="0.25">
      <c r="A8" s="47">
        <v>100</v>
      </c>
      <c r="B8" s="47">
        <v>10.9</v>
      </c>
      <c r="C8" s="47">
        <v>12.3</v>
      </c>
      <c r="D8" s="47">
        <v>2.9</v>
      </c>
      <c r="E8" s="47">
        <v>1.2969999999999999</v>
      </c>
      <c r="F8" s="47">
        <v>607</v>
      </c>
      <c r="G8" s="50">
        <f t="shared" si="0"/>
        <v>61.251195028680691</v>
      </c>
      <c r="H8" s="64">
        <f t="shared" si="1"/>
        <v>18.304172274562582</v>
      </c>
      <c r="I8" s="68"/>
      <c r="J8" s="47">
        <v>50</v>
      </c>
      <c r="K8" s="47">
        <v>8.5</v>
      </c>
      <c r="L8" s="47">
        <v>10.8</v>
      </c>
      <c r="M8" s="47">
        <v>2.1</v>
      </c>
      <c r="N8" s="47">
        <v>0.51100000000000001</v>
      </c>
      <c r="O8" s="47">
        <v>80</v>
      </c>
      <c r="P8" s="50">
        <f t="shared" si="2"/>
        <v>84.733508604206492</v>
      </c>
      <c r="Q8" s="50">
        <f t="shared" si="3"/>
        <v>87.654320987654316</v>
      </c>
    </row>
    <row r="9" spans="1:17" ht="15.75" x14ac:dyDescent="0.25">
      <c r="A9" s="49" t="s">
        <v>6</v>
      </c>
      <c r="B9" s="49">
        <v>20.7</v>
      </c>
      <c r="C9" s="49">
        <v>23.5</v>
      </c>
      <c r="D9" s="49">
        <v>8.6</v>
      </c>
      <c r="E9" s="49">
        <v>3.3472</v>
      </c>
      <c r="F9" s="49">
        <v>743</v>
      </c>
      <c r="G9" s="50"/>
      <c r="H9" s="64"/>
      <c r="I9" s="68"/>
      <c r="J9" s="47">
        <v>60</v>
      </c>
      <c r="K9" s="47">
        <v>8.6</v>
      </c>
      <c r="L9" s="47">
        <v>10.5</v>
      </c>
      <c r="M9" s="47">
        <v>2.1</v>
      </c>
      <c r="N9" s="47">
        <v>0.53</v>
      </c>
      <c r="O9" s="47">
        <v>85</v>
      </c>
      <c r="P9" s="50">
        <f t="shared" si="2"/>
        <v>84.165869980879535</v>
      </c>
      <c r="Q9" s="50">
        <f t="shared" si="3"/>
        <v>86.882716049382708</v>
      </c>
    </row>
    <row r="10" spans="1:17" ht="15.75" x14ac:dyDescent="0.25">
      <c r="A10" s="68"/>
      <c r="B10" s="68"/>
      <c r="C10" s="68"/>
      <c r="D10" s="68"/>
      <c r="E10" s="68"/>
      <c r="F10" s="68"/>
      <c r="G10" s="49"/>
      <c r="H10" s="49"/>
      <c r="I10" s="68"/>
      <c r="J10" s="49" t="s">
        <v>6</v>
      </c>
      <c r="K10" s="49">
        <v>20.3</v>
      </c>
      <c r="L10" s="49">
        <v>23.2</v>
      </c>
      <c r="M10" s="49">
        <v>8.1</v>
      </c>
      <c r="N10" s="49">
        <v>3.3472</v>
      </c>
      <c r="O10" s="49">
        <v>648</v>
      </c>
      <c r="P10" s="47"/>
      <c r="Q10" s="47"/>
    </row>
    <row r="12" spans="1:17" ht="15.75" x14ac:dyDescent="0.25">
      <c r="I12" s="47"/>
    </row>
    <row r="13" spans="1:17" ht="15.75" x14ac:dyDescent="0.25">
      <c r="I13" s="47"/>
    </row>
    <row r="14" spans="1:17" ht="15.75" x14ac:dyDescent="0.25">
      <c r="I14" s="47"/>
    </row>
    <row r="15" spans="1:17" ht="15.75" x14ac:dyDescent="0.25">
      <c r="I15" s="47"/>
    </row>
    <row r="16" spans="1:17" ht="15.75" x14ac:dyDescent="0.25">
      <c r="I16" s="47"/>
    </row>
    <row r="29" spans="2:3" x14ac:dyDescent="0.25">
      <c r="B29" t="s">
        <v>66</v>
      </c>
      <c r="C29" t="s">
        <v>67</v>
      </c>
    </row>
    <row r="30" spans="2:3" x14ac:dyDescent="0.25">
      <c r="B30" t="s">
        <v>68</v>
      </c>
      <c r="C30" t="s">
        <v>69</v>
      </c>
    </row>
    <row r="31" spans="2:3" x14ac:dyDescent="0.25">
      <c r="B31" t="s">
        <v>19</v>
      </c>
      <c r="C31" t="s">
        <v>70</v>
      </c>
    </row>
    <row r="32" spans="2:3" x14ac:dyDescent="0.25">
      <c r="B32" t="s">
        <v>71</v>
      </c>
      <c r="C32" t="s">
        <v>72</v>
      </c>
    </row>
    <row r="33" spans="2:3" x14ac:dyDescent="0.25">
      <c r="C33" t="s">
        <v>73</v>
      </c>
    </row>
    <row r="34" spans="2:3" x14ac:dyDescent="0.25">
      <c r="B34" t="s">
        <v>74</v>
      </c>
      <c r="C34" t="s">
        <v>75</v>
      </c>
    </row>
    <row r="35" spans="2:3" x14ac:dyDescent="0.25">
      <c r="C35" t="s">
        <v>76</v>
      </c>
    </row>
  </sheetData>
  <mergeCells count="2">
    <mergeCell ref="A2:H2"/>
    <mergeCell ref="J2:Q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6"/>
  <sheetViews>
    <sheetView topLeftCell="A16" workbookViewId="0">
      <selection activeCell="C31" sqref="C31"/>
    </sheetView>
  </sheetViews>
  <sheetFormatPr defaultRowHeight="15" x14ac:dyDescent="0.25"/>
  <cols>
    <col min="1" max="1" width="16" customWidth="1"/>
    <col min="2" max="2" width="20.42578125" customWidth="1"/>
    <col min="3" max="3" width="23.140625" customWidth="1"/>
  </cols>
  <sheetData>
    <row r="3" spans="1:3" ht="15.75" x14ac:dyDescent="0.25">
      <c r="A3" s="49" t="s">
        <v>77</v>
      </c>
      <c r="B3" s="49" t="s">
        <v>7</v>
      </c>
      <c r="C3" s="49" t="s">
        <v>8</v>
      </c>
    </row>
    <row r="4" spans="1:3" ht="15.75" x14ac:dyDescent="0.25">
      <c r="A4" s="47">
        <v>10</v>
      </c>
      <c r="B4" s="64">
        <v>29.172712337966011</v>
      </c>
      <c r="C4" s="64">
        <v>31.567080045095828</v>
      </c>
    </row>
    <row r="5" spans="1:3" ht="15.75" x14ac:dyDescent="0.25">
      <c r="A5" s="47">
        <v>20</v>
      </c>
      <c r="B5" s="64">
        <v>86.938352139867845</v>
      </c>
      <c r="C5" s="64">
        <v>86.471251409244644</v>
      </c>
    </row>
    <row r="6" spans="1:3" ht="15.75" x14ac:dyDescent="0.25">
      <c r="A6" s="47">
        <v>30</v>
      </c>
      <c r="B6" s="64">
        <v>89.864257191850641</v>
      </c>
      <c r="C6" s="64">
        <v>93.235625704622322</v>
      </c>
    </row>
    <row r="7" spans="1:3" ht="15.75" x14ac:dyDescent="0.25">
      <c r="A7" s="47">
        <v>40</v>
      </c>
      <c r="B7" s="64">
        <v>90.559759212403918</v>
      </c>
      <c r="C7" s="64">
        <v>95.26493799323562</v>
      </c>
    </row>
    <row r="8" spans="1:3" ht="15.75" x14ac:dyDescent="0.25">
      <c r="A8" s="47">
        <v>50</v>
      </c>
      <c r="B8" s="64">
        <v>90.005156308083414</v>
      </c>
      <c r="C8" s="64">
        <v>96.166854565952647</v>
      </c>
    </row>
    <row r="9" spans="1:3" ht="15.75" x14ac:dyDescent="0.25">
      <c r="A9" s="47">
        <v>60</v>
      </c>
      <c r="B9" s="64">
        <v>89.474536232057844</v>
      </c>
      <c r="C9" s="64">
        <v>93.686583990980836</v>
      </c>
    </row>
    <row r="10" spans="1:3" ht="15.75" x14ac:dyDescent="0.25">
      <c r="A10" s="47">
        <v>100</v>
      </c>
      <c r="B10" s="64">
        <v>86.947345700478451</v>
      </c>
      <c r="C10" s="69">
        <v>93.573844419391207</v>
      </c>
    </row>
    <row r="19" spans="1:3" s="1" customFormat="1" ht="15.75" x14ac:dyDescent="0.25">
      <c r="A19" s="49" t="s">
        <v>54</v>
      </c>
      <c r="B19" s="49" t="s">
        <v>7</v>
      </c>
      <c r="C19" s="49" t="s">
        <v>8</v>
      </c>
    </row>
    <row r="20" spans="1:3" ht="15.75" x14ac:dyDescent="0.25">
      <c r="A20" s="47">
        <v>4</v>
      </c>
      <c r="B20" s="64">
        <v>69.395398608881763</v>
      </c>
      <c r="C20" s="64">
        <v>69.960988296488949</v>
      </c>
    </row>
    <row r="21" spans="1:3" ht="15.75" x14ac:dyDescent="0.25">
      <c r="A21" s="47">
        <v>5</v>
      </c>
      <c r="B21" s="64">
        <v>73.157083772605631</v>
      </c>
      <c r="C21" s="64">
        <v>84.880239520958085</v>
      </c>
    </row>
    <row r="22" spans="1:3" ht="15.75" x14ac:dyDescent="0.25">
      <c r="A22" s="47">
        <v>6</v>
      </c>
      <c r="B22" s="64">
        <v>80.899619646105521</v>
      </c>
      <c r="C22" s="64">
        <v>88.146551724137936</v>
      </c>
    </row>
    <row r="23" spans="1:3" ht="15.75" x14ac:dyDescent="0.25">
      <c r="A23" s="47">
        <v>7</v>
      </c>
      <c r="B23" s="64">
        <v>85.105048604578243</v>
      </c>
      <c r="C23" s="64">
        <v>93.805309734513273</v>
      </c>
    </row>
    <row r="24" spans="1:3" ht="15.75" x14ac:dyDescent="0.25">
      <c r="A24" s="47">
        <v>8</v>
      </c>
      <c r="B24" s="64">
        <v>87.6562258910662</v>
      </c>
      <c r="C24" s="64">
        <v>90.303030303030312</v>
      </c>
    </row>
    <row r="25" spans="1:3" ht="15.75" x14ac:dyDescent="0.25">
      <c r="A25" s="47">
        <v>9</v>
      </c>
      <c r="B25" s="64">
        <v>54.801250558284941</v>
      </c>
      <c r="C25" s="64">
        <v>79.587155963302749</v>
      </c>
    </row>
    <row r="26" spans="1:3" ht="15.75" x14ac:dyDescent="0.25">
      <c r="A26" s="47">
        <v>10</v>
      </c>
      <c r="B26" s="64">
        <v>23.561408531348409</v>
      </c>
      <c r="C26" s="64">
        <v>75.982532751091696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opLeftCell="A25" workbookViewId="0">
      <selection activeCell="A27" sqref="A27:L33"/>
    </sheetView>
  </sheetViews>
  <sheetFormatPr defaultRowHeight="15" x14ac:dyDescent="0.25"/>
  <cols>
    <col min="1" max="1" width="13.5703125" customWidth="1"/>
    <col min="2" max="3" width="5.28515625" customWidth="1"/>
    <col min="4" max="4" width="7" customWidth="1"/>
    <col min="5" max="5" width="4.85546875" customWidth="1"/>
    <col min="6" max="6" width="10.28515625" customWidth="1"/>
    <col min="7" max="7" width="6.28515625" customWidth="1"/>
    <col min="8" max="8" width="6" customWidth="1"/>
    <col min="9" max="9" width="6.28515625" customWidth="1"/>
    <col min="10" max="10" width="10.5703125" customWidth="1"/>
    <col min="11" max="11" width="10.28515625" customWidth="1"/>
    <col min="12" max="12" width="13.7109375" customWidth="1"/>
  </cols>
  <sheetData>
    <row r="1" spans="1:5" x14ac:dyDescent="0.25">
      <c r="A1" s="2"/>
      <c r="B1" s="80" t="s">
        <v>13</v>
      </c>
      <c r="C1" s="81"/>
      <c r="D1" s="82" t="s">
        <v>2</v>
      </c>
      <c r="E1" s="83"/>
    </row>
    <row r="2" spans="1:5" x14ac:dyDescent="0.25">
      <c r="A2" s="2"/>
      <c r="B2" s="32" t="s">
        <v>38</v>
      </c>
      <c r="C2" s="31" t="s">
        <v>37</v>
      </c>
      <c r="D2" s="32" t="s">
        <v>38</v>
      </c>
      <c r="E2" s="31" t="s">
        <v>37</v>
      </c>
    </row>
    <row r="3" spans="1:5" x14ac:dyDescent="0.25">
      <c r="A3" s="2" t="s">
        <v>6</v>
      </c>
      <c r="B3" s="2">
        <v>1.2126999999999999</v>
      </c>
      <c r="C3" s="2">
        <v>1.2126999999999999</v>
      </c>
      <c r="D3" s="2">
        <v>437</v>
      </c>
      <c r="E3" s="2">
        <v>437</v>
      </c>
    </row>
    <row r="4" spans="1:5" x14ac:dyDescent="0.25">
      <c r="A4" s="2" t="s">
        <v>9</v>
      </c>
      <c r="B4" s="2">
        <v>0.29499999999999998</v>
      </c>
      <c r="C4" s="2">
        <v>0.39560000000000001</v>
      </c>
      <c r="D4" s="2">
        <v>175</v>
      </c>
      <c r="E4" s="2">
        <v>52</v>
      </c>
    </row>
    <row r="5" spans="1:5" x14ac:dyDescent="0.25">
      <c r="A5" s="2" t="s">
        <v>10</v>
      </c>
      <c r="B5" s="2">
        <v>3.4000000000000002E-2</v>
      </c>
      <c r="C5" s="2">
        <v>0.37040000000000001</v>
      </c>
      <c r="D5" s="2">
        <v>8</v>
      </c>
      <c r="E5" s="2">
        <v>14</v>
      </c>
    </row>
    <row r="6" spans="1:5" x14ac:dyDescent="0.25">
      <c r="A6" s="2" t="s">
        <v>11</v>
      </c>
      <c r="B6" s="2">
        <v>2.76E-2</v>
      </c>
      <c r="C6" s="2">
        <v>0.2324</v>
      </c>
      <c r="D6" s="2">
        <v>5</v>
      </c>
      <c r="E6" s="2">
        <v>5</v>
      </c>
    </row>
    <row r="7" spans="1:5" x14ac:dyDescent="0.25">
      <c r="A7" s="2" t="s">
        <v>12</v>
      </c>
      <c r="B7" s="2">
        <v>2.18E-2</v>
      </c>
      <c r="C7" s="2">
        <v>0.14399999999999999</v>
      </c>
      <c r="D7" s="2">
        <v>3</v>
      </c>
      <c r="E7" s="2">
        <v>4</v>
      </c>
    </row>
    <row r="27" spans="1:12" s="1" customFormat="1" x14ac:dyDescent="0.25">
      <c r="A27" s="36"/>
      <c r="B27" s="86" t="s">
        <v>6</v>
      </c>
      <c r="C27" s="88" t="s">
        <v>9</v>
      </c>
      <c r="D27" s="88"/>
      <c r="E27" s="88" t="s">
        <v>10</v>
      </c>
      <c r="F27" s="88"/>
      <c r="G27" s="88" t="s">
        <v>11</v>
      </c>
      <c r="H27" s="88"/>
      <c r="I27" s="88" t="s">
        <v>12</v>
      </c>
      <c r="J27" s="88"/>
      <c r="K27" s="84" t="s">
        <v>39</v>
      </c>
      <c r="L27" s="85"/>
    </row>
    <row r="28" spans="1:12" s="33" customFormat="1" ht="24" x14ac:dyDescent="0.25">
      <c r="A28" s="37"/>
      <c r="B28" s="87"/>
      <c r="C28" s="38" t="s">
        <v>40</v>
      </c>
      <c r="D28" s="38" t="s">
        <v>41</v>
      </c>
      <c r="E28" s="38" t="s">
        <v>40</v>
      </c>
      <c r="F28" s="38" t="s">
        <v>41</v>
      </c>
      <c r="G28" s="38" t="s">
        <v>40</v>
      </c>
      <c r="H28" s="38" t="s">
        <v>41</v>
      </c>
      <c r="I28" s="39" t="s">
        <v>40</v>
      </c>
      <c r="J28" s="38" t="s">
        <v>41</v>
      </c>
      <c r="K28" s="39" t="s">
        <v>25</v>
      </c>
      <c r="L28" s="38" t="s">
        <v>26</v>
      </c>
    </row>
    <row r="29" spans="1:12" ht="16.149999999999999" customHeight="1" x14ac:dyDescent="0.25">
      <c r="A29" s="36" t="s">
        <v>13</v>
      </c>
      <c r="B29" s="40">
        <v>1.2126999999999999</v>
      </c>
      <c r="C29" s="40">
        <v>0.29499999999999998</v>
      </c>
      <c r="D29" s="40">
        <v>0.39560000000000001</v>
      </c>
      <c r="E29" s="40">
        <v>3.4000000000000002E-2</v>
      </c>
      <c r="F29" s="40">
        <v>0.37040000000000001</v>
      </c>
      <c r="G29" s="40">
        <v>2.76E-2</v>
      </c>
      <c r="H29" s="40">
        <v>0.2324</v>
      </c>
      <c r="I29" s="41">
        <v>2.18E-2</v>
      </c>
      <c r="J29" s="40">
        <v>0.14399999999999999</v>
      </c>
      <c r="K29" s="42" t="s">
        <v>27</v>
      </c>
      <c r="L29" s="43" t="s">
        <v>28</v>
      </c>
    </row>
    <row r="30" spans="1:12" x14ac:dyDescent="0.25">
      <c r="A30" s="36" t="s">
        <v>2</v>
      </c>
      <c r="B30" s="40">
        <v>437</v>
      </c>
      <c r="C30" s="40">
        <v>175</v>
      </c>
      <c r="D30" s="40">
        <v>52</v>
      </c>
      <c r="E30" s="40">
        <v>8</v>
      </c>
      <c r="F30" s="40">
        <v>14</v>
      </c>
      <c r="G30" s="40">
        <v>5</v>
      </c>
      <c r="H30" s="40">
        <v>5</v>
      </c>
      <c r="I30" s="41">
        <v>3</v>
      </c>
      <c r="J30" s="40">
        <v>4</v>
      </c>
      <c r="K30" s="42">
        <v>5</v>
      </c>
      <c r="L30" s="43">
        <v>10</v>
      </c>
    </row>
    <row r="31" spans="1:12" x14ac:dyDescent="0.25">
      <c r="A31" s="36" t="s">
        <v>22</v>
      </c>
      <c r="B31" s="40">
        <v>1.2</v>
      </c>
      <c r="C31" s="40">
        <v>2.5</v>
      </c>
      <c r="D31" s="40">
        <v>1.5</v>
      </c>
      <c r="E31" s="40">
        <v>2.6</v>
      </c>
      <c r="F31" s="40">
        <v>2.7</v>
      </c>
      <c r="G31" s="40">
        <v>2.2000000000000002</v>
      </c>
      <c r="H31" s="40">
        <v>1.6</v>
      </c>
      <c r="I31" s="41">
        <v>2.5</v>
      </c>
      <c r="J31" s="40">
        <v>2.1</v>
      </c>
      <c r="K31" s="41">
        <v>7</v>
      </c>
      <c r="L31" s="44">
        <v>10</v>
      </c>
    </row>
    <row r="32" spans="1:12" x14ac:dyDescent="0.25">
      <c r="A32" s="36" t="s">
        <v>23</v>
      </c>
      <c r="B32" s="40">
        <v>16.5</v>
      </c>
      <c r="C32" s="40">
        <v>14.8</v>
      </c>
      <c r="D32" s="40">
        <v>15</v>
      </c>
      <c r="E32" s="40">
        <v>15.3</v>
      </c>
      <c r="F32" s="40">
        <v>16.899999999999999</v>
      </c>
      <c r="G32" s="40">
        <v>14.9</v>
      </c>
      <c r="H32" s="40">
        <v>15.1</v>
      </c>
      <c r="I32" s="41">
        <v>9.8000000000000007</v>
      </c>
      <c r="J32" s="40">
        <v>16.2</v>
      </c>
      <c r="K32" s="42">
        <v>45</v>
      </c>
      <c r="L32" s="43" t="s">
        <v>30</v>
      </c>
    </row>
    <row r="33" spans="1:12" x14ac:dyDescent="0.25">
      <c r="A33" s="45" t="s">
        <v>19</v>
      </c>
      <c r="B33" s="40">
        <v>8.08</v>
      </c>
      <c r="C33" s="40">
        <v>6.51</v>
      </c>
      <c r="D33" s="40">
        <v>6.48</v>
      </c>
      <c r="E33" s="40">
        <v>6.64</v>
      </c>
      <c r="F33" s="40">
        <v>5.45</v>
      </c>
      <c r="G33" s="40">
        <v>6.63</v>
      </c>
      <c r="H33" s="40">
        <v>6.42</v>
      </c>
      <c r="I33" s="41">
        <v>6.83</v>
      </c>
      <c r="J33" s="40">
        <v>6.02</v>
      </c>
      <c r="K33" s="42" t="s">
        <v>29</v>
      </c>
      <c r="L33" s="43" t="s">
        <v>30</v>
      </c>
    </row>
  </sheetData>
  <mergeCells count="8">
    <mergeCell ref="B1:C1"/>
    <mergeCell ref="D1:E1"/>
    <mergeCell ref="K27:L27"/>
    <mergeCell ref="B27:B28"/>
    <mergeCell ref="C27:D27"/>
    <mergeCell ref="E27:F27"/>
    <mergeCell ref="G27:H27"/>
    <mergeCell ref="I27:J27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abSelected="1" workbookViewId="0">
      <selection activeCell="F13" sqref="F13"/>
    </sheetView>
  </sheetViews>
  <sheetFormatPr defaultColWidth="8.85546875" defaultRowHeight="15.75" x14ac:dyDescent="0.25"/>
  <cols>
    <col min="1" max="1" width="21.42578125" style="13" customWidth="1"/>
    <col min="2" max="3" width="11.28515625" style="13" customWidth="1"/>
    <col min="4" max="4" width="12.85546875" style="13" customWidth="1"/>
    <col min="5" max="5" width="14.28515625" style="13" customWidth="1"/>
    <col min="6" max="6" width="15.42578125" style="13" customWidth="1"/>
    <col min="7" max="7" width="16.42578125" style="13" customWidth="1"/>
    <col min="8" max="8" width="10.28515625" style="13" customWidth="1"/>
    <col min="9" max="16384" width="8.85546875" style="13"/>
  </cols>
  <sheetData>
    <row r="1" spans="1:12" x14ac:dyDescent="0.25">
      <c r="L1" s="14"/>
    </row>
    <row r="2" spans="1:12" x14ac:dyDescent="0.25">
      <c r="A2" s="89" t="s">
        <v>3</v>
      </c>
      <c r="B2" s="89"/>
      <c r="C2" s="89"/>
      <c r="D2" s="89"/>
      <c r="E2" s="89"/>
      <c r="L2" s="14"/>
    </row>
    <row r="3" spans="1:12" x14ac:dyDescent="0.25">
      <c r="A3" s="93" t="s">
        <v>4</v>
      </c>
      <c r="B3" s="93"/>
      <c r="L3" s="14"/>
    </row>
    <row r="4" spans="1:12" x14ac:dyDescent="0.25">
      <c r="A4" s="90" t="s">
        <v>0</v>
      </c>
      <c r="B4" s="91"/>
      <c r="C4" s="91"/>
      <c r="D4" s="91"/>
      <c r="E4" s="92"/>
      <c r="L4" s="14"/>
    </row>
    <row r="5" spans="1:12" ht="30" customHeight="1" x14ac:dyDescent="0.25">
      <c r="A5" s="12" t="s">
        <v>5</v>
      </c>
      <c r="B5" s="12" t="s">
        <v>13</v>
      </c>
      <c r="C5" s="12" t="s">
        <v>2</v>
      </c>
      <c r="D5" s="12" t="s">
        <v>7</v>
      </c>
      <c r="E5" s="12" t="s">
        <v>8</v>
      </c>
      <c r="L5" s="14"/>
    </row>
    <row r="6" spans="1:12" x14ac:dyDescent="0.25">
      <c r="A6" s="3" t="s">
        <v>6</v>
      </c>
      <c r="B6" s="3">
        <v>0.20300000000000001</v>
      </c>
      <c r="C6" s="3">
        <v>44</v>
      </c>
      <c r="D6" s="3"/>
      <c r="E6" s="3"/>
      <c r="L6" s="14"/>
    </row>
    <row r="7" spans="1:12" x14ac:dyDescent="0.25">
      <c r="A7" s="3">
        <v>0</v>
      </c>
      <c r="B7" s="3">
        <v>3.4000000000000002E-2</v>
      </c>
      <c r="C7" s="3">
        <v>3</v>
      </c>
      <c r="D7" s="3">
        <v>83.25</v>
      </c>
      <c r="E7" s="3">
        <v>93.18</v>
      </c>
      <c r="L7" s="14"/>
    </row>
    <row r="8" spans="1:12" x14ac:dyDescent="0.25">
      <c r="A8" s="3">
        <v>5</v>
      </c>
      <c r="B8" s="3">
        <v>0.14779999999999999</v>
      </c>
      <c r="C8" s="3">
        <v>12</v>
      </c>
      <c r="D8" s="3">
        <v>27.19</v>
      </c>
      <c r="E8" s="3">
        <v>72.72</v>
      </c>
      <c r="L8" s="14"/>
    </row>
    <row r="9" spans="1:12" x14ac:dyDescent="0.25">
      <c r="A9" s="3">
        <v>10</v>
      </c>
      <c r="B9" s="3">
        <v>0.1615</v>
      </c>
      <c r="C9" s="3"/>
      <c r="D9" s="3">
        <v>20.440000000000001</v>
      </c>
      <c r="E9" s="3"/>
      <c r="L9" s="14"/>
    </row>
    <row r="10" spans="1:12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 spans="1:12" x14ac:dyDescent="0.25">
      <c r="A11" s="89" t="s">
        <v>3</v>
      </c>
      <c r="B11" s="89"/>
      <c r="C11" s="89"/>
      <c r="D11" s="89"/>
      <c r="E11" s="89"/>
      <c r="L11" s="14"/>
    </row>
    <row r="12" spans="1:12" x14ac:dyDescent="0.25">
      <c r="A12" s="93" t="s">
        <v>4</v>
      </c>
      <c r="B12" s="93"/>
      <c r="L12" s="14"/>
    </row>
    <row r="13" spans="1:12" x14ac:dyDescent="0.25">
      <c r="A13" s="90" t="s">
        <v>1</v>
      </c>
      <c r="B13" s="91"/>
      <c r="C13" s="91"/>
      <c r="D13" s="91"/>
      <c r="E13" s="92"/>
      <c r="L13" s="14"/>
    </row>
    <row r="14" spans="1:12" ht="47.25" x14ac:dyDescent="0.25">
      <c r="A14" s="12" t="s">
        <v>5</v>
      </c>
      <c r="B14" s="12" t="s">
        <v>13</v>
      </c>
      <c r="C14" s="12" t="s">
        <v>2</v>
      </c>
      <c r="D14" s="12" t="s">
        <v>7</v>
      </c>
      <c r="E14" s="12" t="s">
        <v>8</v>
      </c>
      <c r="L14" s="14"/>
    </row>
    <row r="15" spans="1:12" x14ac:dyDescent="0.25">
      <c r="A15" s="3" t="s">
        <v>6</v>
      </c>
      <c r="B15" s="4">
        <v>0.19500000000000001</v>
      </c>
      <c r="C15" s="4">
        <v>48</v>
      </c>
      <c r="D15" s="3"/>
      <c r="E15" s="3"/>
      <c r="L15" s="14"/>
    </row>
    <row r="16" spans="1:12" x14ac:dyDescent="0.25">
      <c r="A16" s="3">
        <v>0</v>
      </c>
      <c r="B16" s="4">
        <v>0.25990000000000002</v>
      </c>
      <c r="C16" s="4">
        <v>112</v>
      </c>
      <c r="D16" s="3">
        <v>-33.28</v>
      </c>
      <c r="E16" s="3">
        <v>-133</v>
      </c>
      <c r="L16" s="14"/>
    </row>
    <row r="17" spans="1:12" x14ac:dyDescent="0.25">
      <c r="A17" s="3">
        <v>2</v>
      </c>
      <c r="B17" s="4">
        <v>0.1067</v>
      </c>
      <c r="C17" s="4">
        <v>40</v>
      </c>
      <c r="D17" s="3">
        <v>45.28</v>
      </c>
      <c r="E17" s="3">
        <v>16.66</v>
      </c>
      <c r="L17" s="14"/>
    </row>
    <row r="18" spans="1:12" x14ac:dyDescent="0.25">
      <c r="A18" s="3">
        <v>4</v>
      </c>
      <c r="B18" s="4">
        <v>7.6600000000000001E-2</v>
      </c>
      <c r="C18" s="4">
        <v>19</v>
      </c>
      <c r="D18" s="3">
        <v>60.71</v>
      </c>
      <c r="E18" s="3">
        <v>60.41</v>
      </c>
      <c r="L18" s="14"/>
    </row>
    <row r="19" spans="1:12" x14ac:dyDescent="0.25">
      <c r="A19" s="3">
        <v>6</v>
      </c>
      <c r="B19" s="4">
        <v>7.8700000000000006E-2</v>
      </c>
      <c r="C19" s="4">
        <v>15</v>
      </c>
      <c r="D19" s="3">
        <v>59.64</v>
      </c>
      <c r="E19" s="3">
        <v>68.75</v>
      </c>
      <c r="L19" s="14"/>
    </row>
    <row r="20" spans="1:12" x14ac:dyDescent="0.25">
      <c r="A20" s="3">
        <v>8</v>
      </c>
      <c r="B20" s="4">
        <v>6.7299999999999999E-2</v>
      </c>
      <c r="C20" s="4">
        <v>3</v>
      </c>
      <c r="D20" s="3">
        <v>65.48</v>
      </c>
      <c r="E20" s="3">
        <v>93.75</v>
      </c>
      <c r="L20" s="14"/>
    </row>
    <row r="21" spans="1:12" x14ac:dyDescent="0.25">
      <c r="A21" s="3">
        <v>10</v>
      </c>
      <c r="B21" s="4">
        <v>6.5699999999999995E-2</v>
      </c>
      <c r="C21" s="4">
        <v>4</v>
      </c>
      <c r="D21" s="3">
        <v>66.3</v>
      </c>
      <c r="E21" s="3">
        <v>91.66</v>
      </c>
      <c r="L21" s="14"/>
    </row>
    <row r="22" spans="1:12" x14ac:dyDescent="0.25">
      <c r="A22" s="3">
        <v>12</v>
      </c>
      <c r="B22" s="4">
        <v>6.7699999999999996E-2</v>
      </c>
      <c r="C22" s="4">
        <v>5</v>
      </c>
      <c r="D22" s="3">
        <v>65.28</v>
      </c>
      <c r="E22" s="3">
        <v>89.58</v>
      </c>
      <c r="L22" s="14"/>
    </row>
    <row r="23" spans="1:12" x14ac:dyDescent="0.25">
      <c r="A23" s="3">
        <v>14</v>
      </c>
      <c r="B23" s="4">
        <v>8.9700000000000002E-2</v>
      </c>
      <c r="C23" s="4">
        <v>37</v>
      </c>
      <c r="D23" s="3">
        <v>54</v>
      </c>
      <c r="E23" s="3">
        <v>22.91</v>
      </c>
      <c r="L23" s="14"/>
    </row>
    <row r="24" spans="1:12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 spans="1:12" x14ac:dyDescent="0.25">
      <c r="L25" s="14"/>
    </row>
    <row r="26" spans="1:12" x14ac:dyDescent="0.25">
      <c r="A26" s="89" t="s">
        <v>14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14"/>
    </row>
    <row r="27" spans="1:12" x14ac:dyDescent="0.25">
      <c r="A27" s="93" t="s">
        <v>4</v>
      </c>
      <c r="B27" s="93"/>
      <c r="C27" s="15"/>
      <c r="F27" s="15"/>
      <c r="G27" s="15"/>
      <c r="H27" s="15"/>
      <c r="I27" s="15"/>
      <c r="L27" s="14"/>
    </row>
    <row r="28" spans="1:12" s="16" customFormat="1" ht="48.6" customHeight="1" x14ac:dyDescent="0.25">
      <c r="A28" s="5"/>
      <c r="B28" s="10" t="s">
        <v>13</v>
      </c>
      <c r="C28" s="10" t="s">
        <v>2</v>
      </c>
      <c r="D28" s="10" t="s">
        <v>18</v>
      </c>
      <c r="E28" s="10" t="s">
        <v>16</v>
      </c>
      <c r="F28" s="10" t="s">
        <v>17</v>
      </c>
      <c r="G28" s="10" t="s">
        <v>15</v>
      </c>
      <c r="H28" s="10" t="s">
        <v>21</v>
      </c>
      <c r="I28" s="10" t="s">
        <v>22</v>
      </c>
      <c r="J28" s="10" t="s">
        <v>23</v>
      </c>
      <c r="K28" s="10" t="s">
        <v>19</v>
      </c>
      <c r="L28" s="19"/>
    </row>
    <row r="29" spans="1:12" s="17" customFormat="1" ht="14.45" customHeight="1" x14ac:dyDescent="0.25">
      <c r="A29" s="11" t="s">
        <v>6</v>
      </c>
      <c r="B29" s="8">
        <v>1.2126999999999999</v>
      </c>
      <c r="C29" s="8">
        <v>437</v>
      </c>
      <c r="D29" s="8">
        <v>1340</v>
      </c>
      <c r="E29" s="7"/>
      <c r="F29" s="7"/>
      <c r="G29" s="9"/>
      <c r="H29" s="8">
        <v>1.45</v>
      </c>
      <c r="I29" s="8">
        <v>1.2</v>
      </c>
      <c r="J29" s="8">
        <v>16.5</v>
      </c>
      <c r="K29" s="8">
        <v>8.08</v>
      </c>
      <c r="L29" s="14"/>
    </row>
    <row r="30" spans="1:12" s="17" customFormat="1" x14ac:dyDescent="0.25">
      <c r="A30" s="11" t="s">
        <v>9</v>
      </c>
      <c r="B30" s="8">
        <v>0.29499999999999998</v>
      </c>
      <c r="C30" s="8">
        <v>175</v>
      </c>
      <c r="D30" s="8">
        <v>1280</v>
      </c>
      <c r="E30" s="20">
        <f>(($B$29-B30)/$B$29)*100</f>
        <v>75.674115609796317</v>
      </c>
      <c r="F30" s="20">
        <f>(($C$29-C30)/$C$29)*100</f>
        <v>59.954233409610978</v>
      </c>
      <c r="G30" s="20">
        <f>(($D$29-D30)/$D$29)*100</f>
        <v>4.4776119402985071</v>
      </c>
      <c r="H30" s="8">
        <v>1.45</v>
      </c>
      <c r="I30" s="8">
        <v>2.5</v>
      </c>
      <c r="J30" s="8">
        <v>14.8</v>
      </c>
      <c r="K30" s="8">
        <v>6.51</v>
      </c>
      <c r="L30" s="14"/>
    </row>
    <row r="31" spans="1:12" s="17" customFormat="1" x14ac:dyDescent="0.25">
      <c r="A31" s="11" t="s">
        <v>10</v>
      </c>
      <c r="B31" s="8">
        <v>3.4000000000000002E-2</v>
      </c>
      <c r="C31" s="8">
        <v>8</v>
      </c>
      <c r="D31" s="8">
        <v>1270</v>
      </c>
      <c r="E31" s="20">
        <f t="shared" ref="E31:E33" si="0">(($B$29-B31)/$B$29)*100</f>
        <v>97.196338748247712</v>
      </c>
      <c r="F31" s="20">
        <f t="shared" ref="F31:F33" si="1">(($C$29-C31)/$C$29)*100</f>
        <v>98.169336384439347</v>
      </c>
      <c r="G31" s="20">
        <f t="shared" ref="G31:G33" si="2">(($D$29-D31)/$D$29)*100</f>
        <v>5.2238805970149249</v>
      </c>
      <c r="H31" s="8">
        <v>1.26</v>
      </c>
      <c r="I31" s="8">
        <v>2.6</v>
      </c>
      <c r="J31" s="8">
        <v>15.3</v>
      </c>
      <c r="K31" s="8">
        <v>6.64</v>
      </c>
      <c r="L31" s="14"/>
    </row>
    <row r="32" spans="1:12" s="17" customFormat="1" x14ac:dyDescent="0.25">
      <c r="A32" s="11" t="s">
        <v>11</v>
      </c>
      <c r="B32" s="8">
        <v>2.76E-2</v>
      </c>
      <c r="C32" s="8">
        <v>5</v>
      </c>
      <c r="D32" s="8">
        <v>1140</v>
      </c>
      <c r="E32" s="20">
        <f t="shared" si="0"/>
        <v>97.724086748577548</v>
      </c>
      <c r="F32" s="20">
        <f t="shared" si="1"/>
        <v>98.855835240274601</v>
      </c>
      <c r="G32" s="20">
        <f t="shared" si="2"/>
        <v>14.925373134328357</v>
      </c>
      <c r="H32" s="8">
        <v>1.52</v>
      </c>
      <c r="I32" s="8">
        <v>2.2000000000000002</v>
      </c>
      <c r="J32" s="8">
        <v>14.9</v>
      </c>
      <c r="K32" s="8">
        <v>6.63</v>
      </c>
      <c r="L32" s="14"/>
    </row>
    <row r="33" spans="1:21" s="17" customFormat="1" x14ac:dyDescent="0.25">
      <c r="A33" s="11" t="s">
        <v>12</v>
      </c>
      <c r="B33" s="8">
        <v>2.18E-2</v>
      </c>
      <c r="C33" s="8">
        <v>3</v>
      </c>
      <c r="D33" s="8">
        <v>1040</v>
      </c>
      <c r="E33" s="20">
        <f t="shared" si="0"/>
        <v>98.202358373876478</v>
      </c>
      <c r="F33" s="20">
        <f t="shared" si="1"/>
        <v>99.313501144164761</v>
      </c>
      <c r="G33" s="20">
        <f t="shared" si="2"/>
        <v>22.388059701492537</v>
      </c>
      <c r="H33" s="8">
        <v>1.29</v>
      </c>
      <c r="I33" s="8">
        <v>2.5</v>
      </c>
      <c r="J33" s="8">
        <v>9.8000000000000007</v>
      </c>
      <c r="K33" s="8">
        <v>6.83</v>
      </c>
      <c r="L33" s="14"/>
    </row>
    <row r="34" spans="1:21" s="17" customFormat="1" x14ac:dyDescent="0.25">
      <c r="A34" s="21"/>
      <c r="B34" s="22"/>
      <c r="C34" s="24" t="s">
        <v>35</v>
      </c>
      <c r="D34" s="22" t="s">
        <v>33</v>
      </c>
      <c r="E34" s="23"/>
      <c r="F34" s="23"/>
      <c r="G34" s="23"/>
      <c r="H34" s="22" t="s">
        <v>31</v>
      </c>
      <c r="I34" s="24" t="s">
        <v>34</v>
      </c>
      <c r="J34" s="22" t="s">
        <v>32</v>
      </c>
      <c r="K34" s="22" t="s">
        <v>29</v>
      </c>
      <c r="L34" s="14"/>
    </row>
    <row r="35" spans="1:2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spans="1:21" x14ac:dyDescent="0.25">
      <c r="A36" s="89" t="s">
        <v>14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14"/>
    </row>
    <row r="37" spans="1:21" ht="15" customHeight="1" x14ac:dyDescent="0.25">
      <c r="A37" s="93" t="s">
        <v>24</v>
      </c>
      <c r="B37" s="93"/>
      <c r="C37" s="15"/>
      <c r="F37" s="15"/>
      <c r="G37" s="15"/>
      <c r="H37" s="15"/>
      <c r="I37" s="15"/>
      <c r="L37" s="14"/>
    </row>
    <row r="38" spans="1:21" ht="63" x14ac:dyDescent="0.25">
      <c r="A38" s="5"/>
      <c r="B38" s="10" t="s">
        <v>13</v>
      </c>
      <c r="C38" s="10" t="s">
        <v>2</v>
      </c>
      <c r="D38" s="10" t="s">
        <v>20</v>
      </c>
      <c r="E38" s="10" t="s">
        <v>36</v>
      </c>
      <c r="F38" s="10" t="s">
        <v>17</v>
      </c>
      <c r="G38" s="10" t="s">
        <v>15</v>
      </c>
      <c r="H38" s="10" t="s">
        <v>21</v>
      </c>
      <c r="I38" s="10" t="s">
        <v>22</v>
      </c>
      <c r="J38" s="10" t="s">
        <v>23</v>
      </c>
      <c r="K38" s="10" t="s">
        <v>19</v>
      </c>
      <c r="L38" s="14"/>
    </row>
    <row r="39" spans="1:21" x14ac:dyDescent="0.25">
      <c r="A39" s="11" t="s">
        <v>6</v>
      </c>
      <c r="B39" s="8">
        <v>1.2126999999999999</v>
      </c>
      <c r="C39" s="8">
        <v>437</v>
      </c>
      <c r="D39" s="28">
        <v>1340</v>
      </c>
      <c r="E39" s="7"/>
      <c r="F39" s="7"/>
      <c r="G39" s="9"/>
      <c r="H39" s="18">
        <v>1.45</v>
      </c>
      <c r="I39" s="18">
        <v>1.2</v>
      </c>
      <c r="J39" s="18">
        <v>16.5</v>
      </c>
      <c r="K39" s="18">
        <v>8.08</v>
      </c>
      <c r="L39" s="14"/>
    </row>
    <row r="40" spans="1:21" x14ac:dyDescent="0.25">
      <c r="A40" s="11" t="s">
        <v>9</v>
      </c>
      <c r="B40" s="6">
        <v>0.39560000000000001</v>
      </c>
      <c r="C40" s="6">
        <v>52</v>
      </c>
      <c r="D40" s="29">
        <v>1270</v>
      </c>
      <c r="E40" s="27">
        <f>(($B$39-B40)/$B$39)*100</f>
        <v>67.378576729611623</v>
      </c>
      <c r="F40" s="27">
        <f>(($C$39-C40)/$C$39)*100</f>
        <v>88.100686498855836</v>
      </c>
      <c r="G40" s="30">
        <f>(($D$39-D40)/$D$39)*100</f>
        <v>5.2238805970149249</v>
      </c>
      <c r="H40" s="6">
        <v>15.6</v>
      </c>
      <c r="I40" s="6">
        <v>1.5</v>
      </c>
      <c r="J40" s="6">
        <v>15</v>
      </c>
      <c r="K40" s="6">
        <v>6.48</v>
      </c>
      <c r="L40" s="14"/>
    </row>
    <row r="41" spans="1:21" x14ac:dyDescent="0.25">
      <c r="A41" s="11" t="s">
        <v>10</v>
      </c>
      <c r="B41" s="6">
        <v>0.37040000000000001</v>
      </c>
      <c r="C41" s="6">
        <v>14</v>
      </c>
      <c r="D41" s="29">
        <v>1020</v>
      </c>
      <c r="E41" s="27">
        <f t="shared" ref="E41:E43" si="3">(($B$39-B41)/$B$39)*100</f>
        <v>69.456584480910351</v>
      </c>
      <c r="F41" s="27">
        <f t="shared" ref="F41:F43" si="4">(($C$39-C41)/$C$39)*100</f>
        <v>96.796338672768883</v>
      </c>
      <c r="G41" s="30">
        <f t="shared" ref="G41:G43" si="5">(($D$39-D41)/$D$39)*100</f>
        <v>23.880597014925371</v>
      </c>
      <c r="H41" s="6">
        <v>11.6</v>
      </c>
      <c r="I41" s="6">
        <v>2.7</v>
      </c>
      <c r="J41" s="6">
        <v>16.899999999999999</v>
      </c>
      <c r="K41" s="6">
        <v>5.45</v>
      </c>
      <c r="L41" s="14"/>
    </row>
    <row r="42" spans="1:21" x14ac:dyDescent="0.25">
      <c r="A42" s="11" t="s">
        <v>11</v>
      </c>
      <c r="B42" s="6">
        <v>0.2324</v>
      </c>
      <c r="C42" s="6">
        <v>5</v>
      </c>
      <c r="D42" s="29">
        <v>8.9600000000000009</v>
      </c>
      <c r="E42" s="27">
        <f t="shared" si="3"/>
        <v>80.836150738022596</v>
      </c>
      <c r="F42" s="27">
        <f t="shared" si="4"/>
        <v>98.855835240274601</v>
      </c>
      <c r="G42" s="30">
        <f t="shared" si="5"/>
        <v>99.331343283582086</v>
      </c>
      <c r="H42" s="6">
        <v>10.1</v>
      </c>
      <c r="I42" s="6">
        <v>1.6</v>
      </c>
      <c r="J42" s="6">
        <v>15.1</v>
      </c>
      <c r="K42" s="6">
        <v>6.42</v>
      </c>
      <c r="L42" s="14"/>
    </row>
    <row r="43" spans="1:21" x14ac:dyDescent="0.25">
      <c r="A43" s="11" t="s">
        <v>12</v>
      </c>
      <c r="B43" s="6">
        <v>0.14399999999999999</v>
      </c>
      <c r="C43" s="8">
        <v>4</v>
      </c>
      <c r="D43" s="29">
        <v>5.4</v>
      </c>
      <c r="E43" s="27">
        <f t="shared" si="3"/>
        <v>88.125669992578551</v>
      </c>
      <c r="F43" s="27">
        <f t="shared" si="4"/>
        <v>99.084668192219681</v>
      </c>
      <c r="G43" s="30">
        <f t="shared" si="5"/>
        <v>99.597014925373131</v>
      </c>
      <c r="H43" s="6">
        <v>6.16</v>
      </c>
      <c r="I43" s="6">
        <v>2.1</v>
      </c>
      <c r="J43" s="6">
        <v>16.2</v>
      </c>
      <c r="K43" s="6">
        <v>6.02</v>
      </c>
      <c r="L43" s="14"/>
    </row>
    <row r="44" spans="1:21" x14ac:dyDescent="0.25">
      <c r="A44" s="26"/>
      <c r="B44" s="6"/>
      <c r="C44" s="25" t="s">
        <v>35</v>
      </c>
      <c r="D44" s="8" t="s">
        <v>33</v>
      </c>
      <c r="E44" s="20"/>
      <c r="F44" s="20"/>
      <c r="G44" s="20"/>
      <c r="H44" s="8" t="s">
        <v>31</v>
      </c>
      <c r="I44" s="25" t="s">
        <v>34</v>
      </c>
      <c r="J44" s="8" t="s">
        <v>32</v>
      </c>
      <c r="K44" s="8" t="s">
        <v>29</v>
      </c>
      <c r="L44" s="14"/>
      <c r="M44" s="14"/>
      <c r="N44" s="14"/>
      <c r="O44" s="14"/>
      <c r="P44" s="14"/>
      <c r="Q44" s="14"/>
      <c r="R44" s="14"/>
      <c r="S44" s="14"/>
      <c r="T44" s="14"/>
      <c r="U44" s="14"/>
    </row>
  </sheetData>
  <mergeCells count="10">
    <mergeCell ref="A26:K26"/>
    <mergeCell ref="A36:K36"/>
    <mergeCell ref="A37:B37"/>
    <mergeCell ref="A27:B27"/>
    <mergeCell ref="A12:B12"/>
    <mergeCell ref="A2:E2"/>
    <mergeCell ref="A13:E13"/>
    <mergeCell ref="A11:E11"/>
    <mergeCell ref="A4:E4"/>
    <mergeCell ref="A3:B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Chito-rapid rate</vt:lpstr>
      <vt:lpstr>Chito-slow rate</vt:lpstr>
      <vt:lpstr>Chito-conc, vol </vt:lpstr>
      <vt:lpstr>Chito-rapid time</vt:lpstr>
      <vt:lpstr>Chito-slow time</vt:lpstr>
      <vt:lpstr>poly-DOSE</vt:lpstr>
      <vt:lpstr>poly-pH</vt:lpstr>
      <vt:lpstr>poly- Rapid </vt:lpstr>
      <vt:lpstr>poly-Slow</vt:lpstr>
      <vt:lpstr>poly-review 1</vt:lpstr>
      <vt:lpstr>CONSOLI</vt:lpstr>
      <vt:lpstr>TREATMENT TRAIN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</dc:creator>
  <cp:lastModifiedBy>admin1</cp:lastModifiedBy>
  <dcterms:created xsi:type="dcterms:W3CDTF">2018-04-14T15:36:14Z</dcterms:created>
  <dcterms:modified xsi:type="dcterms:W3CDTF">2022-11-24T09:54:02Z</dcterms:modified>
</cp:coreProperties>
</file>